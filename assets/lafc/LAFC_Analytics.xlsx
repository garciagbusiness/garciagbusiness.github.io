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avid\Desktop\LAFC\"/>
    </mc:Choice>
  </mc:AlternateContent>
  <xr:revisionPtr revIDLastSave="0" documentId="13_ncr:1_{4AF9EBAA-6552-4A81-BF81-034B0DC59668}" xr6:coauthVersionLast="47" xr6:coauthVersionMax="47" xr10:uidLastSave="{00000000-0000-0000-0000-000000000000}"/>
  <bookViews>
    <workbookView xWindow="-98" yWindow="-98" windowWidth="19396" windowHeight="11475" firstSheet="5" activeTab="7" xr2:uid="{AC7E319C-66E7-4AC9-BD4B-26ECE347AEA7}"/>
  </bookViews>
  <sheets>
    <sheet name="Dashboard" sheetId="1" r:id="rId1"/>
    <sheet name="Annual Trends" sheetId="2" r:id="rId2"/>
    <sheet name="Seating Revenue" sheetId="3" r:id="rId3"/>
    <sheet name="Fan Feedback" sheetId="4" r:id="rId4"/>
    <sheet name="Membership Insights" sheetId="5" r:id="rId5"/>
    <sheet name="Spend Distribution" sheetId="6" r:id="rId6"/>
    <sheet name="Year-by-Year Context" sheetId="7" r:id="rId7"/>
    <sheet name="Revenue Opportunity"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<sst xmlns="http://schemas.openxmlformats.org/spreadsheetml/2006/main" count="289" uniqueCount="242">
  <si>
    <t>LOS ANGELES FOOTBALL CLUB</t>
  </si>
  <si>
    <t>FAN EXPERIENCE ANALYTICS  |  2021 - 2025</t>
  </si>
  <si>
    <t>Post-Event Survey Intelligence  |  9,246 Fan Responses  |  BMO Stadium</t>
  </si>
  <si>
    <t>9,246</t>
  </si>
  <si>
    <t>Total Surveys</t>
  </si>
  <si>
    <t>Collected 2021-2025</t>
  </si>
  <si>
    <t>$338</t>
  </si>
  <si>
    <t>Avg Fan Spend</t>
  </si>
  <si>
    <t>Per event visit</t>
  </si>
  <si>
    <t>$2.26M</t>
  </si>
  <si>
    <t>Total Spend Tracked</t>
  </si>
  <si>
    <t>All transactions</t>
  </si>
  <si>
    <t>5,410</t>
  </si>
  <si>
    <t>Feedback Responses</t>
  </si>
  <si>
    <t>Open-ended quality</t>
  </si>
  <si>
    <t>+114%</t>
  </si>
  <si>
    <t>Spend Growth 2021-25</t>
  </si>
  <si>
    <t>From $206 to $441</t>
  </si>
  <si>
    <t>16.1%</t>
  </si>
  <si>
    <t>Top Pain Point</t>
  </si>
  <si>
    <t>Food and Beverage</t>
  </si>
  <si>
    <t xml:space="preserve">  KEY FINDINGS AND STRATEGIC SIGNALS</t>
  </si>
  <si>
    <t xml:space="preserve">  1   FAN SPEND GREW +114%: Avg spend per visit rose from $206 (2021) to $441 (2025). Each fan is worth significantly more every year.</t>
  </si>
  <si>
    <t xml:space="preserve">  2   PREMIUM FANS SPEND 2.4x MORE: VIP Floor/Pit avg $573 vs. General avg $240. Shifting the seating mix is the highest-leverage revenue action.</t>
  </si>
  <si>
    <t xml:space="preserve">  3   FOOD AND BEVERAGE IS THE NUMBER 1 COMPLAINT: 16.1% of all 5,410 feedback responses mention F and B -- overpriced, slow lines, limited options.</t>
  </si>
  <si>
    <t xml:space="preserve">  4   PARKING CHAOS AFFECTS 13.8% OF RESPONDENTS: Fans report $50-60 fees and 90-minute exit times. Second biggest friction point after F and B.</t>
  </si>
  <si>
    <t xml:space="preserve">  5   NON-MEMBERS OUTSPEND MEMBERS 92%: Non-members avg $535 vs. LAFC members avg $279. Membership perks reduce spend instead of increasing it.</t>
  </si>
  <si>
    <t xml:space="preserve">  6   SURVEY VOLUME DROPPED 45% FROM 2022 PEAK: 3,168 surveys (2022) to 869 (2024), recovering to 1,189 in 2025. Engagement recovery is underway.</t>
  </si>
  <si>
    <t xml:space="preserve">  Source: LAFC/BMO Stadium post-event fan surveys  |  Analysis: Excel, Claude AI  |  Prepared for LAFC Business and Data Strategy</t>
  </si>
  <si>
    <t>LAFC  |  ANNUAL TRENDS</t>
  </si>
  <si>
    <t>Survey Volume and Average Spend Per Fan  (2021 - 2025)</t>
  </si>
  <si>
    <t>YEAR</t>
  </si>
  <si>
    <t>SURVEYS</t>
  </si>
  <si>
    <t>AVG SPEND</t>
  </si>
  <si>
    <t>TOTAL SPEND</t>
  </si>
  <si>
    <t>MEDIAN SPEND</t>
  </si>
  <si>
    <t>YoY GROWTH</t>
  </si>
  <si>
    <t>2021</t>
  </si>
  <si>
    <t>1,735</t>
  </si>
  <si>
    <t>$206</t>
  </si>
  <si>
    <t>$317K</t>
  </si>
  <si>
    <t>$159</t>
  </si>
  <si>
    <t xml:space="preserve"> -- </t>
  </si>
  <si>
    <t>2022</t>
  </si>
  <si>
    <t>3,168</t>
  </si>
  <si>
    <t>$328</t>
  </si>
  <si>
    <t>$683K</t>
  </si>
  <si>
    <t>$254</t>
  </si>
  <si>
    <t>+59%</t>
  </si>
  <si>
    <t>2023</t>
  </si>
  <si>
    <t>1,942</t>
  </si>
  <si>
    <t>$420</t>
  </si>
  <si>
    <t>$606K</t>
  </si>
  <si>
    <t>$308</t>
  </si>
  <si>
    <t>+28%</t>
  </si>
  <si>
    <t>2024</t>
  </si>
  <si>
    <t>869</t>
  </si>
  <si>
    <t>$397</t>
  </si>
  <si>
    <t>$249K</t>
  </si>
  <si>
    <t>$359</t>
  </si>
  <si>
    <t>-5%</t>
  </si>
  <si>
    <t>2025</t>
  </si>
  <si>
    <t>1,189</t>
  </si>
  <si>
    <t>$441</t>
  </si>
  <si>
    <t>$320K</t>
  </si>
  <si>
    <t>$299</t>
  </si>
  <si>
    <t>+11%</t>
  </si>
  <si>
    <t>LAFC  |  SEATING TIER REVENUE ANALYSIS</t>
  </si>
  <si>
    <t>Average Fan Spend and Total Revenue by Seating Category</t>
  </si>
  <si>
    <t>SEATING TIER</t>
  </si>
  <si>
    <t>FAN COUNT</t>
  </si>
  <si>
    <t>TOTAL REVENUE</t>
  </si>
  <si>
    <t>% OF FANS</t>
  </si>
  <si>
    <t>VIP Floor/Pit</t>
  </si>
  <si>
    <t>65</t>
  </si>
  <si>
    <t>$573</t>
  </si>
  <si>
    <t>$37K</t>
  </si>
  <si>
    <t>0.7%</t>
  </si>
  <si>
    <t>Floor/Pit</t>
  </si>
  <si>
    <t>1,948</t>
  </si>
  <si>
    <t>$485</t>
  </si>
  <si>
    <t>$945K</t>
  </si>
  <si>
    <t>21.1%</t>
  </si>
  <si>
    <t>Premium</t>
  </si>
  <si>
    <t>868</t>
  </si>
  <si>
    <t>$462</t>
  </si>
  <si>
    <t>$372K</t>
  </si>
  <si>
    <t>9.4%</t>
  </si>
  <si>
    <t>General</t>
  </si>
  <si>
    <t>3,871</t>
  </si>
  <si>
    <t>$240</t>
  </si>
  <si>
    <t>$888K</t>
  </si>
  <si>
    <t>41.9%</t>
  </si>
  <si>
    <t>Supporters Section</t>
  </si>
  <si>
    <t>157</t>
  </si>
  <si>
    <t>$103</t>
  </si>
  <si>
    <t>$15K</t>
  </si>
  <si>
    <t>1.7%</t>
  </si>
  <si>
    <t>LAFC  |  FAN VOICE: KEY THEMES</t>
  </si>
  <si>
    <t>What Fans Are Talking About -- 5,410 Open-Ended Survey Responses</t>
  </si>
  <si>
    <t>FEEDBACK THEME</t>
  </si>
  <si>
    <t>MENTIONS</t>
  </si>
  <si>
    <t>% OF FEEDBACK</t>
  </si>
  <si>
    <t>CATEGORY</t>
  </si>
  <si>
    <t>871</t>
  </si>
  <si>
    <t>Pain Point</t>
  </si>
  <si>
    <t>Parking</t>
  </si>
  <si>
    <t>749</t>
  </si>
  <si>
    <t>13.8%</t>
  </si>
  <si>
    <t>Staff</t>
  </si>
  <si>
    <t>684</t>
  </si>
  <si>
    <t>12.6%</t>
  </si>
  <si>
    <t>Mixed</t>
  </si>
  <si>
    <t>Positive Sentiment</t>
  </si>
  <si>
    <t>672</t>
  </si>
  <si>
    <t>12.4%</t>
  </si>
  <si>
    <t>Positive</t>
  </si>
  <si>
    <t>Entry and Signage</t>
  </si>
  <si>
    <t>611</t>
  </si>
  <si>
    <t>11.3%</t>
  </si>
  <si>
    <t>Long Lines</t>
  </si>
  <si>
    <t>603</t>
  </si>
  <si>
    <t>11.1%</t>
  </si>
  <si>
    <t>Negative Sentiment</t>
  </si>
  <si>
    <t>378</t>
  </si>
  <si>
    <t>7.0%</t>
  </si>
  <si>
    <t>Restrooms</t>
  </si>
  <si>
    <t>360</t>
  </si>
  <si>
    <t>6.7%</t>
  </si>
  <si>
    <t>Pricing Too High</t>
  </si>
  <si>
    <t>281</t>
  </si>
  <si>
    <t>5.2%</t>
  </si>
  <si>
    <t>Atmosphere and Fans</t>
  </si>
  <si>
    <t>238</t>
  </si>
  <si>
    <t>4.4%</t>
  </si>
  <si>
    <t>Merchandise</t>
  </si>
  <si>
    <t>194</t>
  </si>
  <si>
    <t>3.6%</t>
  </si>
  <si>
    <t>Audio and Screens</t>
  </si>
  <si>
    <t>142</t>
  </si>
  <si>
    <t>2.6%</t>
  </si>
  <si>
    <t>LAFC  |  MEMBERSHIP AND SPEND ANALYSIS</t>
  </si>
  <si>
    <t>Fan Spend Behavior by LAFC Membership Status</t>
  </si>
  <si>
    <t>FAN STATUS</t>
  </si>
  <si>
    <t>LAFC Member (YES)</t>
  </si>
  <si>
    <t>1,677</t>
  </si>
  <si>
    <t>$279</t>
  </si>
  <si>
    <t>$322,406</t>
  </si>
  <si>
    <t>Non-Member (NO)</t>
  </si>
  <si>
    <t>565</t>
  </si>
  <si>
    <t>$535</t>
  </si>
  <si>
    <t>$14,441</t>
  </si>
  <si>
    <t>Event Guest / N/A</t>
  </si>
  <si>
    <t>7,004</t>
  </si>
  <si>
    <t>$350</t>
  </si>
  <si>
    <t>$1,926,240</t>
  </si>
  <si>
    <t xml:space="preserve">  KEY INSIGHT: Non-Members attending LAFC matches spend 92% MORE per visit than LAFC Members -- a major retention and upsell opportunity</t>
  </si>
  <si>
    <t>LAFC  |  SPEND DISTRIBUTION ANALYSIS</t>
  </si>
  <si>
    <t>How Much Are Fans Actually Spending?  --  6,687 Transactions Analyzed</t>
  </si>
  <si>
    <t>SPEND RANGE</t>
  </si>
  <si>
    <t>% OF TOTAL</t>
  </si>
  <si>
    <t>CUMULATIVE %</t>
  </si>
  <si>
    <t>SEGMENT</t>
  </si>
  <si>
    <t>Under $100</t>
  </si>
  <si>
    <t>1,118</t>
  </si>
  <si>
    <t>16.7%</t>
  </si>
  <si>
    <t>Casual Visitor</t>
  </si>
  <si>
    <t>$100 - $250</t>
  </si>
  <si>
    <t>2,464</t>
  </si>
  <si>
    <t>36.8%</t>
  </si>
  <si>
    <t>53.5%</t>
  </si>
  <si>
    <t>Core Fan</t>
  </si>
  <si>
    <t>$251 - $500</t>
  </si>
  <si>
    <t>1,874</t>
  </si>
  <si>
    <t>28.0%</t>
  </si>
  <si>
    <t>81.5%</t>
  </si>
  <si>
    <t>Engaged Fan</t>
  </si>
  <si>
    <t>$501 - $1,000</t>
  </si>
  <si>
    <t>938</t>
  </si>
  <si>
    <t>14.0%</t>
  </si>
  <si>
    <t>95.6%</t>
  </si>
  <si>
    <t>High-Value Fan</t>
  </si>
  <si>
    <t>Over $1,000</t>
  </si>
  <si>
    <t>293</t>
  </si>
  <si>
    <t>100%</t>
  </si>
  <si>
    <t>Premium Fan</t>
  </si>
  <si>
    <t>LAFC  |  YEAR-BY-YEAR CONTEXT</t>
  </si>
  <si>
    <t>What Drove Fan Engagement and Spend Each Year?</t>
  </si>
  <si>
    <t>KEY BUSINESS CONTEXT</t>
  </si>
  <si>
    <t>COVID RECOVERY: Partial capacity (50-75%), pent-up demand, fans cautious. Low avg spend reflects venue limitations and consumer caution post-pandemic.</t>
  </si>
  <si>
    <t>PEAK YEAR: MLS Cup Championship win (first in club history), full capacity restored, sold-out concerts including Blackpink. Record survey volume from new fan acquisition.</t>
  </si>
  <si>
    <t>NORMALIZATION: Post-championship attendance dip (typical MLS pattern). ACFC added full season. Avg spend jumped +28% as BMO optimized F and B and premium offerings.</t>
  </si>
  <si>
    <t>LOWER VOLUME: Fewer major events captured in survey data. Avg spend steady; median rising to $359 -- high-value fans stayed engaged as casual visitors dropped.</t>
  </si>
  <si>
    <t>RECOVERY BEGINS: Survey volume up +37% vs. 2024. Avg spend reaches all-time high of $441. Signals growing fan quality even as total volume has not yet returned to 2022 peak.</t>
  </si>
  <si>
    <t>LAFC  |  REVENUE OPPORTUNITY 2026-2030</t>
  </si>
  <si>
    <t>Three Scenarios: What Strategic Investment Can Unlock</t>
  </si>
  <si>
    <t>BASE CASE (+5%/yr)</t>
  </si>
  <si>
    <t>ENHANCED (+10%/yr)</t>
  </si>
  <si>
    <t>OPTIMIZED (+15%/yr)</t>
  </si>
  <si>
    <t>DELTA (OPT vs BASE)</t>
  </si>
  <si>
    <t>2025 (Actual)</t>
  </si>
  <si>
    <t xml:space="preserve">  --</t>
  </si>
  <si>
    <t>2026</t>
  </si>
  <si>
    <t>$463</t>
  </si>
  <si>
    <t>$507</t>
  </si>
  <si>
    <t>+$44</t>
  </si>
  <si>
    <t>2027</t>
  </si>
  <si>
    <t>$486</t>
  </si>
  <si>
    <t>$534</t>
  </si>
  <si>
    <t>$584</t>
  </si>
  <si>
    <t>+$98</t>
  </si>
  <si>
    <t>2028</t>
  </si>
  <si>
    <t>$511</t>
  </si>
  <si>
    <t>$587</t>
  </si>
  <si>
    <t>$672</t>
  </si>
  <si>
    <t>+$161</t>
  </si>
  <si>
    <t>2029</t>
  </si>
  <si>
    <t>$536</t>
  </si>
  <si>
    <t>$646</t>
  </si>
  <si>
    <t>$773</t>
  </si>
  <si>
    <t>+$237</t>
  </si>
  <si>
    <t>2030</t>
  </si>
  <si>
    <t>$563</t>
  </si>
  <si>
    <t>$710</t>
  </si>
  <si>
    <t>$889</t>
  </si>
  <si>
    <t>+$326</t>
  </si>
  <si>
    <t xml:space="preserve">  SCENARIO ASSUMPTIONS</t>
  </si>
  <si>
    <t>BASE CASE +5%/yr</t>
  </si>
  <si>
    <t>Current trend extrapolation</t>
  </si>
  <si>
    <t>No major operational changes</t>
  </si>
  <si>
    <t>Organic growth only</t>
  </si>
  <si>
    <t>Inflation-adjusted spending</t>
  </si>
  <si>
    <t>ENHANCED +10%/yr</t>
  </si>
  <si>
    <t>Fix F and B ops (30% faster)</t>
  </si>
  <si>
    <t>Improve parking and pre-book</t>
  </si>
  <si>
    <t>Better entry signage and UX</t>
  </si>
  <si>
    <t>Target: reduce top 3 pain points by 50%</t>
  </si>
  <si>
    <t>OPTIMIZED +15%/yr</t>
  </si>
  <si>
    <t>All Enhanced improvements PLUS</t>
  </si>
  <si>
    <t>Premium tier seating expansion</t>
  </si>
  <si>
    <t>Membership redesign (spend-up)</t>
  </si>
  <si>
    <t>Multi-event calendar growth at BMO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</si>
</sst>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rgb="FFC39E6A"/>
      <name val="Aptos Narrow"/>
      <family val="2"/>
      <scheme val="minor"/>
    </font>
    <font>
      <b/>
      <sz val="24"/>
      <color rgb="FFC39E6A"/>
      <name val="Aptos Narrow"/>
      <family val="2"/>
      <scheme val="minor"/>
    </font>
    <font>
      <sz val="14"/>
      <color rgb="FFC39E6A"/>
      <name val="Aptos Narrow"/>
      <family val="2"/>
      <scheme val="minor"/>
    </font>
    <font>
      <sz val="10"/>
      <color rgb="FFFFFFFF"/>
      <name val="Aptos Narrow"/>
      <family val="2"/>
      <scheme val="minor"/>
    </font>
    <font>
      <b/>
      <sz val="22"/>
      <color rgb="FFC39E6A"/>
      <name val="Aptos Narrow"/>
      <family val="2"/>
      <scheme val="minor"/>
    </font>
    <font>
      <b/>
      <sz val="10"/>
      <color rgb="FFFFFFFF"/>
      <name val="Aptos Narrow"/>
      <family val="2"/>
      <scheme val="minor"/>
    </font>
    <font>
      <sz val="8"/>
      <color rgb="FFC39E6A"/>
      <name val="Aptos Narrow"/>
      <family val="2"/>
      <scheme val="minor"/>
    </font>
    <font>
      <b/>
      <sz val="11"/>
      <color rgb="FF000000"/>
      <name val="Aptos Narrow"/>
      <family val="2"/>
      <scheme val="minor"/>
    </font>
    <font>
      <sz val="11"/>
      <color rgb="FF1C1C1C"/>
      <name val="Aptos Narrow"/>
      <family val="2"/>
      <scheme val="minor"/>
    </font>
    <font>
      <sz val="10"/>
      <color rgb="FF1C1C1C"/>
      <name val="Aptos Narrow"/>
      <family val="2"/>
      <scheme val="minor"/>
    </font>
    <font>
      <sz val="9"/>
      <color rgb="FFC39E6A"/>
      <name val="Aptos Narrow"/>
      <family val="2"/>
      <scheme val="minor"/>
    </font>
    <font>
      <b/>
      <sz val="20"/>
      <color rgb="FFC39E6A"/>
      <name val="Aptos Narrow"/>
      <family val="2"/>
      <scheme val="minor"/>
    </font>
    <font>
      <b/>
      <sz val="10"/>
      <color rgb="FF000000"/>
      <name val="Aptos Narrow"/>
      <family val="2"/>
      <scheme val="minor"/>
    </font>
    <font>
      <b/>
      <sz val="11"/>
      <color rgb="FF1C1C1C"/>
      <name val="Aptos Narrow"/>
      <family val="2"/>
      <scheme val="minor"/>
    </font>
    <font>
      <sz val="10"/>
      <color rgb="FF00008B"/>
      <name val="Aptos Narrow"/>
      <family val="2"/>
      <scheme val="minor"/>
    </font>
    <font>
      <sz val="10"/>
      <color rgb="FFA38031"/>
      <name val="Aptos Narrow"/>
      <family val="2"/>
      <scheme val="minor"/>
    </font>
    <font>
      <b/>
      <sz val="10"/>
      <color rgb="FFA38031"/>
      <name val="Aptos Narrow"/>
      <family val="2"/>
      <scheme val="minor"/>
    </font>
    <font>
      <b/>
      <sz val="11"/>
      <color rgb="FFC39E6A"/>
      <name val="Aptos Narrow"/>
      <family val="2"/>
      <scheme val="minor"/>
    </font>
    <font>
      <b/>
      <sz val="11"/>
      <color rgb="FFA38031"/>
      <name val="Aptos Narrow"/>
      <family val="2"/>
      <scheme val="minor"/>
    </font>
    <font>
      <sz val="9"/>
      <color rgb="FF1C1C1C"/>
      <name val="Aptos Narrow"/>
      <family val="2"/>
      <scheme val="minor"/>
    </font>
  </fonts>
  <fills count="7">
    <fill>
      <patternFill patternType="none"/>
    </fill>
    <fill>
      <patternFill patternType="gray125"/>
    </fill>
    <fill>
      <patternFill patternType="solid">
        <fgColor rgb="FF000000"/>
        <bgColor indexed="64"/>
      </patternFill>
    </fill>
    <fill>
      <patternFill patternType="solid">
        <fgColor rgb="FFC39E6A"/>
        <bgColor indexed="64"/>
      </patternFill>
    </fill>
    <fill>
      <patternFill patternType="solid">
        <fgColor rgb="FF1C1C1C"/>
        <bgColor indexed="64"/>
      </patternFill>
    </fill>
    <fill>
      <patternFill patternType="solid">
        <fgColor rgb="FFF9EDDA"/>
        <bgColor indexed="64"/>
      </patternFill>
    </fill>
    <fill>
      <patternFill patternType="solid">
        <fgColor rgb="FFFFFFFF"/>
        <bgColor indexed="64"/>
      </patternFill>
    </fill>
  </fills>
  <borders count="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C39E6A"/>
      </left>
      <right style="thin">
        <color rgb="FFC39E6A"/>
      </right>
      <top style="thin">
        <color rgb="FFC39E6A"/>
      </top>
      <bottom style="thin">
        <color rgb="FFC39E6A"/>
      </bottom>
      <diagonal/>
    </border>
  </borders>
  <cellStyleXfs count="1">
    <xf numFmtId="0" fontId="0" fillId="0" borderId="0"/>
  </cellStyleXfs>
  <cellXfs count="45">
    <xf numFmtId="0" fontId="0" fillId="0" borderId="0" xfId="0"/>
    <xf numFmtId="0" fontId="0" fillId="2" borderId="0" xfId="0" applyFill="1"/>
    <xf numFmtId="0" fontId="0" fillId="3" borderId="0" xfId="0" applyFill="1"/>
    <xf numFmtId="49" fontId="13" fillId="3" borderId="7" xfId="0" applyNumberFormat="1" applyFont="1" applyFill="1" applyBorder="1" applyAlignment="1">
      <alignment horizontal="center" vertical="center"/>
    </xf>
    <xf numFmtId="49" fontId="14" fillId="5" borderId="7" xfId="0" applyNumberFormat="1" applyFont="1" applyFill="1" applyBorder="1" applyAlignment="1">
      <alignment horizontal="center" vertical="center"/>
    </xf>
    <xf numFmtId="49" fontId="9" fillId="5" borderId="7" xfId="0" applyNumberFormat="1" applyFont="1" applyFill="1" applyBorder="1" applyAlignment="1">
      <alignment horizontal="center" vertical="center"/>
    </xf>
    <xf numFmtId="49" fontId="14" fillId="6" borderId="7" xfId="0" applyNumberFormat="1" applyFont="1" applyFill="1" applyBorder="1" applyAlignment="1">
      <alignment horizontal="center" vertical="center"/>
    </xf>
    <xf numFmtId="49" fontId="9" fillId="6" borderId="7" xfId="0" applyNumberFormat="1" applyFont="1" applyFill="1" applyBorder="1" applyAlignment="1">
      <alignment horizontal="center" vertical="center"/>
    </xf>
    <xf numFmtId="49" fontId="9" fillId="5" borderId="7" xfId="0" applyNumberFormat="1" applyFont="1" applyFill="1" applyBorder="1" applyAlignment="1">
      <alignment horizontal="left" vertical="center"/>
    </xf>
    <xf numFmtId="49" fontId="9" fillId="6" borderId="7" xfId="0" applyNumberFormat="1" applyFont="1" applyFill="1" applyBorder="1" applyAlignment="1">
      <alignment horizontal="left" vertical="center"/>
    </xf>
    <xf numFmtId="49" fontId="15" fillId="5" borderId="7" xfId="0" applyNumberFormat="1" applyFont="1" applyFill="1" applyBorder="1" applyAlignment="1">
      <alignment horizontal="center" vertical="center"/>
    </xf>
    <xf numFmtId="49" fontId="15" fillId="6" borderId="7" xfId="0" applyNumberFormat="1" applyFont="1" applyFill="1" applyBorder="1" applyAlignment="1">
      <alignment horizontal="center" vertical="center"/>
    </xf>
    <xf numFmtId="49" fontId="10" fillId="5" borderId="7" xfId="0" applyNumberFormat="1" applyFont="1" applyFill="1" applyBorder="1" applyAlignment="1">
      <alignment horizontal="center" vertical="center"/>
    </xf>
    <xf numFmtId="49" fontId="16" fillId="6" borderId="7" xfId="0" applyNumberFormat="1" applyFont="1" applyFill="1" applyBorder="1" applyAlignment="1">
      <alignment horizontal="center" vertical="center"/>
    </xf>
    <xf numFmtId="49" fontId="17" fillId="5" borderId="7" xfId="0" applyNumberFormat="1" applyFont="1" applyFill="1" applyBorder="1" applyAlignment="1">
      <alignment horizontal="center" vertical="center"/>
    </xf>
    <xf numFmtId="49" fontId="17" fillId="6" borderId="7" xfId="0" applyNumberFormat="1" applyFont="1" applyFill="1" applyBorder="1" applyAlignment="1">
      <alignment horizontal="center" vertical="center"/>
    </xf>
    <xf numFmtId="49" fontId="10" fillId="5" borderId="7" xfId="0" applyNumberFormat="1" applyFont="1" applyFill="1" applyBorder="1" applyAlignment="1">
      <alignment horizontal="left" vertical="center" wrapText="1"/>
    </xf>
    <xf numFmtId="49" fontId="10" fillId="6" borderId="7" xfId="0" applyNumberFormat="1" applyFont="1" applyFill="1" applyBorder="1" applyAlignment="1">
      <alignment horizontal="center" vertical="center"/>
    </xf>
    <xf numFmtId="49" fontId="10" fillId="6" borderId="7" xfId="0" applyNumberFormat="1" applyFont="1" applyFill="1" applyBorder="1" applyAlignment="1">
      <alignment horizontal="left" vertical="center" wrapText="1"/>
    </xf>
    <xf numFmtId="49" fontId="18" fillId="5" borderId="7" xfId="0" applyNumberFormat="1" applyFont="1" applyFill="1" applyBorder="1" applyAlignment="1">
      <alignment horizontal="center" vertical="center"/>
    </xf>
    <xf numFmtId="49" fontId="19" fillId="5" borderId="7" xfId="0" applyNumberFormat="1" applyFont="1" applyFill="1" applyBorder="1" applyAlignment="1">
      <alignment horizontal="center" vertical="center"/>
    </xf>
    <xf numFmtId="49" fontId="18" fillId="6" borderId="7" xfId="0" applyNumberFormat="1" applyFont="1" applyFill="1" applyBorder="1" applyAlignment="1">
      <alignment horizontal="center" vertical="center"/>
    </xf>
    <xf numFmtId="49" fontId="19" fillId="6" borderId="7" xfId="0" applyNumberFormat="1" applyFont="1" applyFill="1" applyBorder="1" applyAlignment="1">
      <alignment horizontal="center" vertical="center"/>
    </xf>
    <xf numFmtId="49" fontId="17" fillId="5" borderId="7" xfId="0" applyNumberFormat="1" applyFont="1" applyFill="1" applyBorder="1" applyAlignment="1">
      <alignment horizontal="left" vertical="center"/>
    </xf>
    <xf numFmtId="49" fontId="20" fillId="5" borderId="7" xfId="0" applyNumberFormat="1" applyFont="1" applyFill="1" applyBorder="1" applyAlignment="1">
      <alignment horizontal="left" vertical="center"/>
    </xf>
    <xf numFmtId="49" fontId="17" fillId="6" borderId="7" xfId="0" applyNumberFormat="1" applyFont="1" applyFill="1" applyBorder="1" applyAlignment="1">
      <alignment horizontal="left" vertical="center"/>
    </xf>
    <xf numFmtId="49" fontId="20" fillId="6" borderId="7" xfId="0" applyNumberFormat="1" applyFont="1" applyFill="1" applyBorder="1" applyAlignment="1">
      <alignment horizontal="left" vertical="center"/>
    </xf>
    <xf numFmtId="49" fontId="12" fillId="2" borderId="0" xfId="0" applyNumberFormat="1" applyFont="1" applyFill="1" applyAlignment="1">
      <alignment horizontal="center" vertical="center"/>
    </xf>
    <xf numFmtId="49" fontId="1" fillId="2" borderId="0" xfId="0" applyNumberFormat="1" applyFont="1" applyFill="1" applyAlignment="1">
      <alignment horizontal="center" vertical="center"/>
    </xf>
    <xf numFmtId="49" fontId="2" fillId="2" borderId="0" xfId="0" applyNumberFormat="1" applyFont="1" applyFill="1" applyAlignment="1">
      <alignment horizontal="center" vertical="center"/>
    </xf>
    <xf numFmtId="49" fontId="3" fillId="2" borderId="0" xfId="0" applyNumberFormat="1" applyFont="1" applyFill="1" applyAlignment="1">
      <alignment horizontal="center" vertical="center"/>
    </xf>
    <xf numFmtId="49" fontId="4" fillId="2" borderId="0" xfId="0" applyNumberFormat="1" applyFont="1" applyFill="1" applyAlignment="1">
      <alignment horizontal="center" vertical="center"/>
    </xf>
    <xf numFmtId="49" fontId="5" fillId="4" borderId="1" xfId="0" applyNumberFormat="1" applyFont="1" applyFill="1" applyBorder="1" applyAlignment="1">
      <alignment horizontal="center" vertical="center"/>
    </xf>
    <xf numFmtId="49" fontId="5" fillId="4" borderId="2" xfId="0" applyNumberFormat="1" applyFont="1" applyFill="1" applyBorder="1" applyAlignment="1">
      <alignment horizontal="center" vertical="center"/>
    </xf>
    <xf numFmtId="49" fontId="5" fillId="4" borderId="3" xfId="0" applyNumberFormat="1" applyFont="1" applyFill="1" applyBorder="1" applyAlignment="1">
      <alignment horizontal="center" vertical="center"/>
    </xf>
    <xf numFmtId="49" fontId="5" fillId="4" borderId="4" xfId="0" applyNumberFormat="1" applyFont="1" applyFill="1" applyBorder="1" applyAlignment="1">
      <alignment horizontal="center" vertical="center"/>
    </xf>
    <xf numFmtId="49" fontId="6" fillId="4" borderId="3" xfId="0" applyNumberFormat="1" applyFont="1" applyFill="1" applyBorder="1" applyAlignment="1">
      <alignment horizontal="center" vertical="center"/>
    </xf>
    <xf numFmtId="49" fontId="6" fillId="4" borderId="4" xfId="0" applyNumberFormat="1" applyFont="1" applyFill="1" applyBorder="1" applyAlignment="1">
      <alignment horizontal="center" vertical="center"/>
    </xf>
    <xf numFmtId="49" fontId="10" fillId="6" borderId="7" xfId="0" applyNumberFormat="1" applyFont="1" applyFill="1" applyBorder="1" applyAlignment="1">
      <alignment horizontal="left" vertical="center"/>
    </xf>
    <xf numFmtId="49" fontId="7" fillId="4" borderId="5" xfId="0" applyNumberFormat="1" applyFont="1" applyFill="1" applyBorder="1" applyAlignment="1">
      <alignment horizontal="center" vertical="center"/>
    </xf>
    <xf numFmtId="49" fontId="7" fillId="4" borderId="6" xfId="0" applyNumberFormat="1" applyFont="1" applyFill="1" applyBorder="1" applyAlignment="1">
      <alignment horizontal="center" vertical="center"/>
    </xf>
    <xf numFmtId="49" fontId="8" fillId="3" borderId="0" xfId="0" applyNumberFormat="1" applyFont="1" applyFill="1" applyAlignment="1">
      <alignment horizontal="left" vertical="center"/>
    </xf>
    <xf numFmtId="49" fontId="10" fillId="5" borderId="7" xfId="0" applyNumberFormat="1" applyFont="1" applyFill="1" applyBorder="1" applyAlignment="1">
      <alignment horizontal="left" vertical="center"/>
    </xf>
    <xf numFmtId="49" fontId="11" fillId="2" borderId="0" xfId="0" applyNumberFormat="1" applyFont="1" applyFill="1" applyAlignment="1">
      <alignment horizontal="left" vertical="center"/>
    </xf>
    <xf numFmtId="49" fontId="13" fillId="3" borderId="7"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C39E6A"/>
                </a:solidFill>
              </a:defRPr>
            </a:pPr>
            <a:r>
              <a:rPr lang="en-US"/>
              <a:t>Fan Engagement: Survey Volume (bars) and Avg Spend Growth (line)  2021-2025</a:t>
            </a:r>
          </a:p>
        </c:rich>
      </c:tx>
      <c:overlay val="0"/>
    </c:title>
    <c:autoTitleDeleted val="0"/>
    <c:plotArea>
      <c:layout/>
      <c:barChart>
        <c:barDir val="col"/>
        <c:grouping val="clustered"/>
        <c:varyColors val="0"/>
        <c:ser>
          <c:idx val="0"/>
          <c:order val="0"/>
          <c:tx>
            <c:v>Number of Surveys</c:v>
          </c:tx>
          <c:spPr>
            <a:solidFill>
              <a:srgbClr val="C39E6A"/>
            </a:solidFill>
            <a:ln>
              <a:solidFill>
                <a:srgbClr val="A38031"/>
              </a:solid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5"/>
              <c:pt idx="0">
                <c:v>2021</c:v>
              </c:pt>
              <c:pt idx="1">
                <c:v>2022</c:v>
              </c:pt>
              <c:pt idx="2">
                <c:v>2023</c:v>
              </c:pt>
              <c:pt idx="3">
                <c:v>2024</c:v>
              </c:pt>
              <c:pt idx="4">
                <c:v>2025</c:v>
              </c:pt>
            </c:strLit>
          </c:cat>
          <c:val>
            <c:numLit>
              <c:formatCode>General</c:formatCode>
              <c:ptCount val="5"/>
              <c:pt idx="0">
                <c:v>1735</c:v>
              </c:pt>
              <c:pt idx="1">
                <c:v>3168</c:v>
              </c:pt>
              <c:pt idx="2">
                <c:v>1942</c:v>
              </c:pt>
              <c:pt idx="3">
                <c:v>869</c:v>
              </c:pt>
              <c:pt idx="4">
                <c:v>1189</c:v>
              </c:pt>
            </c:numLit>
          </c:val>
          <c:extLst>
            <c:ext xmlns:c16="http://schemas.microsoft.com/office/drawing/2014/chart" uri="{C3380CC4-5D6E-409C-BE32-E72D297353CC}">
              <c16:uniqueId val="{00000002-2C85-46F9-AEB5-7FE10DE1218D}"/>
            </c:ext>
          </c:extLst>
        </c:ser>
        <c:dLbls>
          <c:showLegendKey val="0"/>
          <c:showVal val="0"/>
          <c:showCatName val="0"/>
          <c:showSerName val="0"/>
          <c:showPercent val="0"/>
          <c:showBubbleSize val="0"/>
        </c:dLbls>
        <c:gapWidth val="150"/>
        <c:axId val="691868575"/>
        <c:axId val="691872895"/>
      </c:barChart>
      <c:lineChart>
        <c:grouping val="standard"/>
        <c:varyColors val="0"/>
        <c:ser>
          <c:idx val="1"/>
          <c:order val="1"/>
          <c:tx>
            <c:v>Avg Fan Spend</c:v>
          </c:tx>
          <c:spPr>
            <a:ln w="12700">
              <a:solidFill>
                <a:srgbClr val="FFFFFF"/>
              </a:solidFill>
              <a:prstDash val="solid"/>
            </a:ln>
          </c:spPr>
          <c:marker>
            <c:symbol val="circle"/>
            <c:size val="9"/>
            <c:spPr>
              <a:solidFill>
                <a:srgbClr val="FFFFFF"/>
              </a:solidFill>
              <a:ln>
                <a:solidFill>
                  <a:srgbClr val="C39E6A"/>
                </a:solidFill>
                <a:prstDash val="solid"/>
              </a:ln>
            </c:spPr>
          </c:marker>
          <c:cat>
            <c:strLit>
              <c:ptCount val="5"/>
              <c:pt idx="0">
                <c:v>2021</c:v>
              </c:pt>
              <c:pt idx="1">
                <c:v>2022</c:v>
              </c:pt>
              <c:pt idx="2">
                <c:v>2023</c:v>
              </c:pt>
              <c:pt idx="3">
                <c:v>2024</c:v>
              </c:pt>
              <c:pt idx="4">
                <c:v>2025</c:v>
              </c:pt>
            </c:strLit>
          </c:cat>
          <c:val>
            <c:numLit>
              <c:formatCode>General</c:formatCode>
              <c:ptCount val="5"/>
              <c:pt idx="0">
                <c:v>206</c:v>
              </c:pt>
              <c:pt idx="1">
                <c:v>328</c:v>
              </c:pt>
              <c:pt idx="2">
                <c:v>420</c:v>
              </c:pt>
              <c:pt idx="3">
                <c:v>397</c:v>
              </c:pt>
              <c:pt idx="4">
                <c:v>441</c:v>
              </c:pt>
            </c:numLit>
          </c:val>
          <c:smooth val="0"/>
          <c:extLst>
            <c:ext xmlns:c16="http://schemas.microsoft.com/office/drawing/2014/chart" uri="{C3380CC4-5D6E-409C-BE32-E72D297353CC}">
              <c16:uniqueId val="{00000003-2C85-46F9-AEB5-7FE10DE1218D}"/>
            </c:ext>
          </c:extLst>
        </c:ser>
        <c:dLbls>
          <c:showLegendKey val="0"/>
          <c:showVal val="0"/>
          <c:showCatName val="0"/>
          <c:showSerName val="0"/>
          <c:showPercent val="0"/>
          <c:showBubbleSize val="0"/>
        </c:dLbls>
        <c:marker val="1"/>
        <c:smooth val="0"/>
        <c:axId val="691865695"/>
        <c:axId val="691862815"/>
      </c:lineChart>
      <c:catAx>
        <c:axId val="691868575"/>
        <c:scaling>
          <c:orientation val="minMax"/>
        </c:scaling>
        <c:delete val="0"/>
        <c:axPos val="b"/>
        <c:numFmt formatCode="General" sourceLinked="1"/>
        <c:majorTickMark val="out"/>
        <c:minorTickMark val="none"/>
        <c:tickLblPos val="nextTo"/>
        <c:txPr>
          <a:bodyPr/>
          <a:lstStyle/>
          <a:p>
            <a:pPr>
              <a:defRPr sz="1000">
                <a:solidFill>
                  <a:srgbClr val="FFFFFF"/>
                </a:solidFill>
              </a:defRPr>
            </a:pPr>
            <a:endParaRPr lang="en-US"/>
          </a:p>
        </c:txPr>
        <c:crossAx val="691872895"/>
        <c:crosses val="autoZero"/>
        <c:auto val="1"/>
        <c:lblAlgn val="ctr"/>
        <c:lblOffset val="100"/>
        <c:noMultiLvlLbl val="0"/>
      </c:catAx>
      <c:valAx>
        <c:axId val="691872895"/>
        <c:scaling>
          <c:orientation val="minMax"/>
        </c:scaling>
        <c:delete val="0"/>
        <c:axPos val="l"/>
        <c:majorGridlines>
          <c:spPr>
            <a:ln>
              <a:solidFill>
                <a:srgbClr val="2C2C2C"/>
              </a:solidFill>
              <a:prstDash val="solid"/>
            </a:ln>
          </c:spPr>
        </c:majorGridlines>
        <c:numFmt formatCode="General" sourceLinked="1"/>
        <c:majorTickMark val="out"/>
        <c:minorTickMark val="none"/>
        <c:tickLblPos val="nextTo"/>
        <c:txPr>
          <a:bodyPr/>
          <a:lstStyle/>
          <a:p>
            <a:pPr>
              <a:defRPr sz="900">
                <a:solidFill>
                  <a:srgbClr val="C39E6A"/>
                </a:solidFill>
              </a:defRPr>
            </a:pPr>
            <a:endParaRPr lang="en-US"/>
          </a:p>
        </c:txPr>
        <c:crossAx val="691868575"/>
        <c:crosses val="autoZero"/>
        <c:crossBetween val="between"/>
      </c:valAx>
      <c:valAx>
        <c:axId val="691862815"/>
        <c:scaling>
          <c:orientation val="minMax"/>
        </c:scaling>
        <c:delete val="0"/>
        <c:axPos val="r"/>
        <c:numFmt formatCode="General" sourceLinked="1"/>
        <c:majorTickMark val="out"/>
        <c:minorTickMark val="none"/>
        <c:tickLblPos val="nextTo"/>
        <c:txPr>
          <a:bodyPr/>
          <a:lstStyle/>
          <a:p>
            <a:pPr>
              <a:defRPr sz="900">
                <a:solidFill>
                  <a:srgbClr val="FFFFFF"/>
                </a:solidFill>
              </a:defRPr>
            </a:pPr>
            <a:endParaRPr lang="en-US"/>
          </a:p>
        </c:txPr>
        <c:crossAx val="691865695"/>
        <c:crosses val="max"/>
        <c:crossBetween val="between"/>
      </c:valAx>
      <c:catAx>
        <c:axId val="691865695"/>
        <c:scaling>
          <c:orientation val="minMax"/>
        </c:scaling>
        <c:delete val="1"/>
        <c:axPos val="b"/>
        <c:numFmt formatCode="General" sourceLinked="1"/>
        <c:majorTickMark val="out"/>
        <c:minorTickMark val="none"/>
        <c:tickLblPos val="nextTo"/>
        <c:crossAx val="691862815"/>
        <c:crosses val="autoZero"/>
        <c:auto val="1"/>
        <c:lblAlgn val="ctr"/>
        <c:lblOffset val="100"/>
        <c:noMultiLvlLbl val="0"/>
      </c:catAx>
      <c:spPr>
        <a:solidFill>
          <a:srgbClr val="2C2C2C"/>
        </a:solidFill>
        <a:ln w="25400">
          <a:noFill/>
        </a:ln>
      </c:spPr>
    </c:plotArea>
    <c:legend>
      <c:legendPos val="b"/>
      <c:overlay val="0"/>
      <c:spPr>
        <a:solidFill>
          <a:srgbClr val="1C1C1C"/>
        </a:solidFill>
        <a:ln w="25400">
          <a:noFill/>
        </a:ln>
      </c:spPr>
      <c:txPr>
        <a:bodyPr/>
        <a:lstStyle/>
        <a:p>
          <a:pPr>
            <a:defRPr sz="900">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1270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C39E6A"/>
                </a:solidFill>
              </a:defRPr>
            </a:pPr>
            <a:r>
              <a:rPr lang="en-US"/>
              <a:t>Avg Fan Spend by Seating Tier -- VIP Fans Spend 5.6x More Than Supporters</a:t>
            </a:r>
          </a:p>
        </c:rich>
      </c:tx>
      <c:overlay val="0"/>
    </c:title>
    <c:autoTitleDeleted val="0"/>
    <c:plotArea>
      <c:layout/>
      <c:barChart>
        <c:barDir val="bar"/>
        <c:grouping val="clustered"/>
        <c:varyColors val="0"/>
        <c:ser>
          <c:idx val="0"/>
          <c:order val="0"/>
          <c:tx>
            <c:v>Avg Fan Spend</c:v>
          </c:tx>
          <c:spPr>
            <a:solidFill>
              <a:srgbClr val="C39E6A"/>
            </a:solidFill>
            <a:ln>
              <a:solidFill>
                <a:srgbClr val="A38031"/>
              </a:solid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5"/>
              <c:pt idx="0">
                <c:v>Supporters  $103</c:v>
              </c:pt>
              <c:pt idx="1">
                <c:v>General  $240</c:v>
              </c:pt>
              <c:pt idx="2">
                <c:v>Premium  $462</c:v>
              </c:pt>
              <c:pt idx="3">
                <c:v>Floor/Pit  $485</c:v>
              </c:pt>
              <c:pt idx="4">
                <c:v>VIP Floor/Pit  $573</c:v>
              </c:pt>
            </c:strLit>
          </c:cat>
          <c:val>
            <c:numLit>
              <c:formatCode>General</c:formatCode>
              <c:ptCount val="5"/>
              <c:pt idx="0">
                <c:v>103</c:v>
              </c:pt>
              <c:pt idx="1">
                <c:v>240</c:v>
              </c:pt>
              <c:pt idx="2">
                <c:v>462</c:v>
              </c:pt>
              <c:pt idx="3">
                <c:v>485</c:v>
              </c:pt>
              <c:pt idx="4">
                <c:v>573</c:v>
              </c:pt>
            </c:numLit>
          </c:val>
          <c:extLst>
            <c:ext xmlns:c16="http://schemas.microsoft.com/office/drawing/2014/chart" uri="{C3380CC4-5D6E-409C-BE32-E72D297353CC}">
              <c16:uniqueId val="{00000002-DE7A-416B-93B2-845FF2F20BEF}"/>
            </c:ext>
          </c:extLst>
        </c:ser>
        <c:dLbls>
          <c:showLegendKey val="0"/>
          <c:showVal val="0"/>
          <c:showCatName val="0"/>
          <c:showSerName val="0"/>
          <c:showPercent val="0"/>
          <c:showBubbleSize val="0"/>
        </c:dLbls>
        <c:gapWidth val="150"/>
        <c:axId val="691871455"/>
        <c:axId val="691871935"/>
      </c:barChart>
      <c:catAx>
        <c:axId val="691871455"/>
        <c:scaling>
          <c:orientation val="minMax"/>
        </c:scaling>
        <c:delete val="0"/>
        <c:axPos val="l"/>
        <c:numFmt formatCode="General" sourceLinked="1"/>
        <c:majorTickMark val="out"/>
        <c:minorTickMark val="none"/>
        <c:tickLblPos val="nextTo"/>
        <c:txPr>
          <a:bodyPr/>
          <a:lstStyle/>
          <a:p>
            <a:pPr>
              <a:defRPr sz="1000">
                <a:solidFill>
                  <a:srgbClr val="FFFFFF"/>
                </a:solidFill>
              </a:defRPr>
            </a:pPr>
            <a:endParaRPr lang="en-US"/>
          </a:p>
        </c:txPr>
        <c:crossAx val="691871935"/>
        <c:crosses val="autoZero"/>
        <c:auto val="1"/>
        <c:lblAlgn val="ctr"/>
        <c:lblOffset val="100"/>
        <c:noMultiLvlLbl val="0"/>
      </c:catAx>
      <c:valAx>
        <c:axId val="691871935"/>
        <c:scaling>
          <c:orientation val="minMax"/>
        </c:scaling>
        <c:delete val="0"/>
        <c:axPos val="b"/>
        <c:majorGridlines>
          <c:spPr>
            <a:ln>
              <a:solidFill>
                <a:srgbClr val="2C2C2C"/>
              </a:solidFill>
              <a:prstDash val="solid"/>
            </a:ln>
          </c:spPr>
        </c:majorGridlines>
        <c:numFmt formatCode="General" sourceLinked="1"/>
        <c:majorTickMark val="out"/>
        <c:minorTickMark val="none"/>
        <c:tickLblPos val="nextTo"/>
        <c:txPr>
          <a:bodyPr/>
          <a:lstStyle/>
          <a:p>
            <a:pPr>
              <a:defRPr sz="900">
                <a:solidFill>
                  <a:srgbClr val="C39E6A"/>
                </a:solidFill>
              </a:defRPr>
            </a:pPr>
            <a:endParaRPr lang="en-US"/>
          </a:p>
        </c:txPr>
        <c:crossAx val="691871455"/>
        <c:crosses val="autoZero"/>
        <c:crossBetween val="between"/>
      </c:valAx>
      <c:spPr>
        <a:solidFill>
          <a:srgbClr val="2C2C2C"/>
        </a:solidFill>
        <a:ln w="25400">
          <a:noFill/>
        </a:ln>
      </c:spPr>
    </c:plotArea>
    <c:legend>
      <c:legendPos val="b"/>
      <c:overlay val="0"/>
      <c:spPr>
        <a:solidFill>
          <a:srgbClr val="1C1C1C"/>
        </a:solidFill>
        <a:ln w="25400">
          <a:noFill/>
        </a:ln>
      </c:spPr>
      <c:txPr>
        <a:bodyPr/>
        <a:lstStyle/>
        <a:p>
          <a:pPr>
            <a:defRPr sz="900">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1270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C39E6A"/>
                </a:solidFill>
              </a:defRPr>
            </a:pPr>
            <a:r>
              <a:rPr lang="en-US"/>
              <a:t>Fan Feedback Themes -- Food/Beverage and Parking Are the Biggest Pain Points (5,410 Responses)</a:t>
            </a:r>
          </a:p>
        </c:rich>
      </c:tx>
      <c:overlay val="0"/>
    </c:title>
    <c:autoTitleDeleted val="0"/>
    <c:plotArea>
      <c:layout/>
      <c:barChart>
        <c:barDir val="bar"/>
        <c:grouping val="clustered"/>
        <c:varyColors val="0"/>
        <c:ser>
          <c:idx val="0"/>
          <c:order val="0"/>
          <c:tx>
            <c:v>Mentions</c:v>
          </c:tx>
          <c:spPr>
            <a:solidFill>
              <a:srgbClr val="C39E6A"/>
            </a:solidFill>
            <a:ln>
              <a:solidFill>
                <a:srgbClr val="A38031"/>
              </a:solid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2"/>
              <c:pt idx="0">
                <c:v>Audio and Screens</c:v>
              </c:pt>
              <c:pt idx="1">
                <c:v>Merchandise</c:v>
              </c:pt>
              <c:pt idx="2">
                <c:v>Atmosphere/Fans</c:v>
              </c:pt>
              <c:pt idx="3">
                <c:v>Pricing Too High</c:v>
              </c:pt>
              <c:pt idx="4">
                <c:v>Restrooms</c:v>
              </c:pt>
              <c:pt idx="5">
                <c:v>Negative Sentiment</c:v>
              </c:pt>
              <c:pt idx="6">
                <c:v>Long Lines</c:v>
              </c:pt>
              <c:pt idx="7">
                <c:v>Entry and Signage</c:v>
              </c:pt>
              <c:pt idx="8">
                <c:v>Positive Sentiment</c:v>
              </c:pt>
              <c:pt idx="9">
                <c:v>Staff</c:v>
              </c:pt>
              <c:pt idx="10">
                <c:v>Parking</c:v>
              </c:pt>
              <c:pt idx="11">
                <c:v>Food and Beverage</c:v>
              </c:pt>
            </c:strLit>
          </c:cat>
          <c:val>
            <c:numLit>
              <c:formatCode>General</c:formatCode>
              <c:ptCount val="12"/>
              <c:pt idx="0">
                <c:v>142</c:v>
              </c:pt>
              <c:pt idx="1">
                <c:v>194</c:v>
              </c:pt>
              <c:pt idx="2">
                <c:v>238</c:v>
              </c:pt>
              <c:pt idx="3">
                <c:v>281</c:v>
              </c:pt>
              <c:pt idx="4">
                <c:v>360</c:v>
              </c:pt>
              <c:pt idx="5">
                <c:v>378</c:v>
              </c:pt>
              <c:pt idx="6">
                <c:v>603</c:v>
              </c:pt>
              <c:pt idx="7">
                <c:v>611</c:v>
              </c:pt>
              <c:pt idx="8">
                <c:v>672</c:v>
              </c:pt>
              <c:pt idx="9">
                <c:v>684</c:v>
              </c:pt>
              <c:pt idx="10">
                <c:v>749</c:v>
              </c:pt>
              <c:pt idx="11">
                <c:v>871</c:v>
              </c:pt>
            </c:numLit>
          </c:val>
          <c:extLst>
            <c:ext xmlns:c16="http://schemas.microsoft.com/office/drawing/2014/chart" uri="{C3380CC4-5D6E-409C-BE32-E72D297353CC}">
              <c16:uniqueId val="{00000002-9A63-406C-8F00-FF00C5BDECC2}"/>
            </c:ext>
          </c:extLst>
        </c:ser>
        <c:dLbls>
          <c:showLegendKey val="0"/>
          <c:showVal val="0"/>
          <c:showCatName val="0"/>
          <c:showSerName val="0"/>
          <c:showPercent val="0"/>
          <c:showBubbleSize val="0"/>
        </c:dLbls>
        <c:gapWidth val="150"/>
        <c:axId val="691874335"/>
        <c:axId val="691056527"/>
      </c:barChart>
      <c:catAx>
        <c:axId val="691874335"/>
        <c:scaling>
          <c:orientation val="minMax"/>
        </c:scaling>
        <c:delete val="0"/>
        <c:axPos val="l"/>
        <c:numFmt formatCode="General" sourceLinked="1"/>
        <c:majorTickMark val="out"/>
        <c:minorTickMark val="none"/>
        <c:tickLblPos val="nextTo"/>
        <c:txPr>
          <a:bodyPr/>
          <a:lstStyle/>
          <a:p>
            <a:pPr>
              <a:defRPr sz="1000">
                <a:solidFill>
                  <a:srgbClr val="FFFFFF"/>
                </a:solidFill>
              </a:defRPr>
            </a:pPr>
            <a:endParaRPr lang="en-US"/>
          </a:p>
        </c:txPr>
        <c:crossAx val="691056527"/>
        <c:crosses val="autoZero"/>
        <c:auto val="1"/>
        <c:lblAlgn val="ctr"/>
        <c:lblOffset val="100"/>
        <c:noMultiLvlLbl val="0"/>
      </c:catAx>
      <c:valAx>
        <c:axId val="691056527"/>
        <c:scaling>
          <c:orientation val="minMax"/>
        </c:scaling>
        <c:delete val="0"/>
        <c:axPos val="b"/>
        <c:majorGridlines>
          <c:spPr>
            <a:ln>
              <a:solidFill>
                <a:srgbClr val="2C2C2C"/>
              </a:solidFill>
              <a:prstDash val="solid"/>
            </a:ln>
          </c:spPr>
        </c:majorGridlines>
        <c:numFmt formatCode="General" sourceLinked="1"/>
        <c:majorTickMark val="out"/>
        <c:minorTickMark val="none"/>
        <c:tickLblPos val="nextTo"/>
        <c:txPr>
          <a:bodyPr/>
          <a:lstStyle/>
          <a:p>
            <a:pPr>
              <a:defRPr sz="900">
                <a:solidFill>
                  <a:srgbClr val="C39E6A"/>
                </a:solidFill>
              </a:defRPr>
            </a:pPr>
            <a:endParaRPr lang="en-US"/>
          </a:p>
        </c:txPr>
        <c:crossAx val="691874335"/>
        <c:crosses val="autoZero"/>
        <c:crossBetween val="between"/>
      </c:valAx>
      <c:spPr>
        <a:solidFill>
          <a:srgbClr val="2C2C2C"/>
        </a:solidFill>
        <a:ln w="25400">
          <a:noFill/>
        </a:ln>
      </c:spPr>
    </c:plotArea>
    <c:legend>
      <c:legendPos val="b"/>
      <c:overlay val="0"/>
      <c:spPr>
        <a:solidFill>
          <a:srgbClr val="1C1C1C"/>
        </a:solidFill>
        <a:ln w="25400">
          <a:noFill/>
        </a:ln>
      </c:spPr>
      <c:txPr>
        <a:bodyPr/>
        <a:lstStyle/>
        <a:p>
          <a:pPr>
            <a:defRPr sz="900">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1270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C39E6A"/>
                </a:solidFill>
              </a:defRPr>
            </a:pPr>
            <a:r>
              <a:rPr lang="en-US"/>
              <a:t>Non-Members Outspend LAFC Members by 92% Per Visit -- The Retention Opportunity</a:t>
            </a:r>
          </a:p>
        </c:rich>
      </c:tx>
      <c:overlay val="0"/>
    </c:title>
    <c:autoTitleDeleted val="0"/>
    <c:plotArea>
      <c:layout/>
      <c:barChart>
        <c:barDir val="col"/>
        <c:grouping val="clustered"/>
        <c:varyColors val="0"/>
        <c:ser>
          <c:idx val="0"/>
          <c:order val="0"/>
          <c:tx>
            <c:v>Avg Fan Spend</c:v>
          </c:tx>
          <c:spPr>
            <a:solidFill>
              <a:srgbClr val="C39E6A"/>
            </a:solidFill>
            <a:ln>
              <a:solidFill>
                <a:srgbClr val="A38031"/>
              </a:solid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LAFC Member</c:v>
              </c:pt>
              <c:pt idx="1">
                <c:v>Non-Member</c:v>
              </c:pt>
              <c:pt idx="2">
                <c:v>Event Guest</c:v>
              </c:pt>
            </c:strLit>
          </c:cat>
          <c:val>
            <c:numLit>
              <c:formatCode>General</c:formatCode>
              <c:ptCount val="3"/>
              <c:pt idx="0">
                <c:v>279</c:v>
              </c:pt>
              <c:pt idx="1">
                <c:v>535</c:v>
              </c:pt>
              <c:pt idx="2">
                <c:v>350</c:v>
              </c:pt>
            </c:numLit>
          </c:val>
          <c:extLst>
            <c:ext xmlns:c16="http://schemas.microsoft.com/office/drawing/2014/chart" uri="{C3380CC4-5D6E-409C-BE32-E72D297353CC}">
              <c16:uniqueId val="{00000002-AA4E-427A-AC6C-BA497E96DAD5}"/>
            </c:ext>
          </c:extLst>
        </c:ser>
        <c:dLbls>
          <c:showLegendKey val="0"/>
          <c:showVal val="0"/>
          <c:showCatName val="0"/>
          <c:showSerName val="0"/>
          <c:showPercent val="0"/>
          <c:showBubbleSize val="0"/>
        </c:dLbls>
        <c:gapWidth val="150"/>
        <c:axId val="854306735"/>
        <c:axId val="854319695"/>
      </c:barChart>
      <c:catAx>
        <c:axId val="854306735"/>
        <c:scaling>
          <c:orientation val="minMax"/>
        </c:scaling>
        <c:delete val="0"/>
        <c:axPos val="b"/>
        <c:numFmt formatCode="General" sourceLinked="1"/>
        <c:majorTickMark val="out"/>
        <c:minorTickMark val="none"/>
        <c:tickLblPos val="nextTo"/>
        <c:txPr>
          <a:bodyPr/>
          <a:lstStyle/>
          <a:p>
            <a:pPr>
              <a:defRPr sz="1000">
                <a:solidFill>
                  <a:srgbClr val="FFFFFF"/>
                </a:solidFill>
              </a:defRPr>
            </a:pPr>
            <a:endParaRPr lang="en-US"/>
          </a:p>
        </c:txPr>
        <c:crossAx val="854319695"/>
        <c:crosses val="autoZero"/>
        <c:auto val="1"/>
        <c:lblAlgn val="ctr"/>
        <c:lblOffset val="100"/>
        <c:noMultiLvlLbl val="0"/>
      </c:catAx>
      <c:valAx>
        <c:axId val="854319695"/>
        <c:scaling>
          <c:orientation val="minMax"/>
        </c:scaling>
        <c:delete val="0"/>
        <c:axPos val="l"/>
        <c:majorGridlines>
          <c:spPr>
            <a:ln>
              <a:solidFill>
                <a:srgbClr val="2C2C2C"/>
              </a:solidFill>
              <a:prstDash val="solid"/>
            </a:ln>
          </c:spPr>
        </c:majorGridlines>
        <c:numFmt formatCode="General" sourceLinked="1"/>
        <c:majorTickMark val="out"/>
        <c:minorTickMark val="none"/>
        <c:tickLblPos val="nextTo"/>
        <c:txPr>
          <a:bodyPr/>
          <a:lstStyle/>
          <a:p>
            <a:pPr>
              <a:defRPr sz="900">
                <a:solidFill>
                  <a:srgbClr val="C39E6A"/>
                </a:solidFill>
              </a:defRPr>
            </a:pPr>
            <a:endParaRPr lang="en-US"/>
          </a:p>
        </c:txPr>
        <c:crossAx val="854306735"/>
        <c:crosses val="autoZero"/>
        <c:crossBetween val="between"/>
      </c:valAx>
      <c:spPr>
        <a:solidFill>
          <a:srgbClr val="2C2C2C"/>
        </a:solidFill>
        <a:ln w="25400">
          <a:noFill/>
        </a:ln>
      </c:spPr>
    </c:plotArea>
    <c:legend>
      <c:legendPos val="b"/>
      <c:overlay val="0"/>
      <c:spPr>
        <a:solidFill>
          <a:srgbClr val="1C1C1C"/>
        </a:solidFill>
        <a:ln w="25400">
          <a:noFill/>
        </a:ln>
      </c:spPr>
      <c:txPr>
        <a:bodyPr/>
        <a:lstStyle/>
        <a:p>
          <a:pPr>
            <a:defRPr sz="900">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1270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C39E6A"/>
                </a:solidFill>
              </a:defRPr>
            </a:pPr>
            <a:r>
              <a:rPr lang="en-US"/>
              <a:t>Fan Spend Distribution -- 53.5% of Fans Spend $250 or Less Per Visit</a:t>
            </a:r>
          </a:p>
        </c:rich>
      </c:tx>
      <c:overlay val="0"/>
    </c:title>
    <c:autoTitleDeleted val="0"/>
    <c:plotArea>
      <c:layout/>
      <c:barChart>
        <c:barDir val="col"/>
        <c:grouping val="clustered"/>
        <c:varyColors val="0"/>
        <c:ser>
          <c:idx val="0"/>
          <c:order val="0"/>
          <c:tx>
            <c:v>Number of Fans</c:v>
          </c:tx>
          <c:spPr>
            <a:solidFill>
              <a:srgbClr val="C39E6A"/>
            </a:solidFill>
            <a:ln>
              <a:solidFill>
                <a:srgbClr val="A38031"/>
              </a:solid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5"/>
              <c:pt idx="0">
                <c:v>Under $100</c:v>
              </c:pt>
              <c:pt idx="1">
                <c:v>$100-$250</c:v>
              </c:pt>
              <c:pt idx="2">
                <c:v>$251-$500</c:v>
              </c:pt>
              <c:pt idx="3">
                <c:v>$501-$1K</c:v>
              </c:pt>
              <c:pt idx="4">
                <c:v>Over $1K</c:v>
              </c:pt>
            </c:strLit>
          </c:cat>
          <c:val>
            <c:numLit>
              <c:formatCode>General</c:formatCode>
              <c:ptCount val="5"/>
              <c:pt idx="0">
                <c:v>1118</c:v>
              </c:pt>
              <c:pt idx="1">
                <c:v>2464</c:v>
              </c:pt>
              <c:pt idx="2">
                <c:v>1874</c:v>
              </c:pt>
              <c:pt idx="3">
                <c:v>938</c:v>
              </c:pt>
              <c:pt idx="4">
                <c:v>293</c:v>
              </c:pt>
            </c:numLit>
          </c:val>
          <c:extLst>
            <c:ext xmlns:c16="http://schemas.microsoft.com/office/drawing/2014/chart" uri="{C3380CC4-5D6E-409C-BE32-E72D297353CC}">
              <c16:uniqueId val="{00000002-4C1C-487A-81D4-0F245EFBA116}"/>
            </c:ext>
          </c:extLst>
        </c:ser>
        <c:dLbls>
          <c:showLegendKey val="0"/>
          <c:showVal val="0"/>
          <c:showCatName val="0"/>
          <c:showSerName val="0"/>
          <c:showPercent val="0"/>
          <c:showBubbleSize val="0"/>
        </c:dLbls>
        <c:gapWidth val="150"/>
        <c:axId val="854315855"/>
        <c:axId val="854313935"/>
      </c:barChart>
      <c:catAx>
        <c:axId val="854315855"/>
        <c:scaling>
          <c:orientation val="minMax"/>
        </c:scaling>
        <c:delete val="0"/>
        <c:axPos val="b"/>
        <c:numFmt formatCode="General" sourceLinked="1"/>
        <c:majorTickMark val="out"/>
        <c:minorTickMark val="none"/>
        <c:tickLblPos val="nextTo"/>
        <c:txPr>
          <a:bodyPr/>
          <a:lstStyle/>
          <a:p>
            <a:pPr>
              <a:defRPr sz="1000">
                <a:solidFill>
                  <a:srgbClr val="FFFFFF"/>
                </a:solidFill>
              </a:defRPr>
            </a:pPr>
            <a:endParaRPr lang="en-US"/>
          </a:p>
        </c:txPr>
        <c:crossAx val="854313935"/>
        <c:crosses val="autoZero"/>
        <c:auto val="1"/>
        <c:lblAlgn val="ctr"/>
        <c:lblOffset val="100"/>
        <c:noMultiLvlLbl val="0"/>
      </c:catAx>
      <c:valAx>
        <c:axId val="854313935"/>
        <c:scaling>
          <c:orientation val="minMax"/>
        </c:scaling>
        <c:delete val="0"/>
        <c:axPos val="l"/>
        <c:majorGridlines>
          <c:spPr>
            <a:ln>
              <a:solidFill>
                <a:srgbClr val="2C2C2C"/>
              </a:solidFill>
              <a:prstDash val="solid"/>
            </a:ln>
          </c:spPr>
        </c:majorGridlines>
        <c:numFmt formatCode="General" sourceLinked="1"/>
        <c:majorTickMark val="out"/>
        <c:minorTickMark val="none"/>
        <c:tickLblPos val="nextTo"/>
        <c:txPr>
          <a:bodyPr/>
          <a:lstStyle/>
          <a:p>
            <a:pPr>
              <a:defRPr sz="900">
                <a:solidFill>
                  <a:srgbClr val="C39E6A"/>
                </a:solidFill>
              </a:defRPr>
            </a:pPr>
            <a:endParaRPr lang="en-US"/>
          </a:p>
        </c:txPr>
        <c:crossAx val="854315855"/>
        <c:crosses val="autoZero"/>
        <c:crossBetween val="between"/>
      </c:valAx>
      <c:spPr>
        <a:solidFill>
          <a:srgbClr val="2C2C2C"/>
        </a:solidFill>
        <a:ln w="25400">
          <a:noFill/>
        </a:ln>
      </c:spPr>
    </c:plotArea>
    <c:legend>
      <c:legendPos val="b"/>
      <c:overlay val="0"/>
      <c:spPr>
        <a:solidFill>
          <a:srgbClr val="1C1C1C"/>
        </a:solidFill>
        <a:ln w="25400">
          <a:noFill/>
        </a:ln>
      </c:spPr>
      <c:txPr>
        <a:bodyPr/>
        <a:lstStyle/>
        <a:p>
          <a:pPr>
            <a:defRPr sz="900">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1270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C39E6A"/>
                </a:solidFill>
              </a:defRPr>
            </a:pPr>
            <a:r>
              <a:rPr lang="en-US"/>
              <a:t>The Fan Journey 2021-2025: Volume Down, Value Up -- Context Behind Each Year</a:t>
            </a:r>
          </a:p>
        </c:rich>
      </c:tx>
      <c:overlay val="0"/>
    </c:title>
    <c:autoTitleDeleted val="0"/>
    <c:plotArea>
      <c:layout/>
      <c:barChart>
        <c:barDir val="col"/>
        <c:grouping val="clustered"/>
        <c:varyColors val="0"/>
        <c:ser>
          <c:idx val="0"/>
          <c:order val="0"/>
          <c:tx>
            <c:v>Surveys</c:v>
          </c:tx>
          <c:spPr>
            <a:solidFill>
              <a:srgbClr val="C39E6A"/>
            </a:solidFill>
            <a:ln>
              <a:solidFill>
                <a:srgbClr val="A38031"/>
              </a:solid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5"/>
              <c:pt idx="0">
                <c:v>2021</c:v>
              </c:pt>
              <c:pt idx="1">
                <c:v>2022</c:v>
              </c:pt>
              <c:pt idx="2">
                <c:v>2023</c:v>
              </c:pt>
              <c:pt idx="3">
                <c:v>2024</c:v>
              </c:pt>
              <c:pt idx="4">
                <c:v>2025</c:v>
              </c:pt>
            </c:strLit>
          </c:cat>
          <c:val>
            <c:numLit>
              <c:formatCode>General</c:formatCode>
              <c:ptCount val="5"/>
              <c:pt idx="0">
                <c:v>1735</c:v>
              </c:pt>
              <c:pt idx="1">
                <c:v>3168</c:v>
              </c:pt>
              <c:pt idx="2">
                <c:v>1942</c:v>
              </c:pt>
              <c:pt idx="3">
                <c:v>869</c:v>
              </c:pt>
              <c:pt idx="4">
                <c:v>1189</c:v>
              </c:pt>
            </c:numLit>
          </c:val>
          <c:extLst>
            <c:ext xmlns:c16="http://schemas.microsoft.com/office/drawing/2014/chart" uri="{C3380CC4-5D6E-409C-BE32-E72D297353CC}">
              <c16:uniqueId val="{00000002-CCB9-414E-84C5-6D4E3FA4A711}"/>
            </c:ext>
          </c:extLst>
        </c:ser>
        <c:dLbls>
          <c:showLegendKey val="0"/>
          <c:showVal val="0"/>
          <c:showCatName val="0"/>
          <c:showSerName val="0"/>
          <c:showPercent val="0"/>
          <c:showBubbleSize val="0"/>
        </c:dLbls>
        <c:gapWidth val="150"/>
        <c:axId val="854310575"/>
        <c:axId val="854309615"/>
      </c:barChart>
      <c:lineChart>
        <c:grouping val="standard"/>
        <c:varyColors val="0"/>
        <c:ser>
          <c:idx val="1"/>
          <c:order val="1"/>
          <c:tx>
            <c:v>Avg Spend</c:v>
          </c:tx>
          <c:spPr>
            <a:ln w="12700">
              <a:solidFill>
                <a:srgbClr val="FFFFFF"/>
              </a:solidFill>
              <a:prstDash val="solid"/>
            </a:ln>
          </c:spPr>
          <c:marker>
            <c:symbol val="circle"/>
            <c:size val="9"/>
            <c:spPr>
              <a:solidFill>
                <a:srgbClr val="FFFFFF"/>
              </a:solidFill>
              <a:ln>
                <a:solidFill>
                  <a:srgbClr val="C39E6A"/>
                </a:solidFill>
                <a:prstDash val="solid"/>
              </a:ln>
            </c:spPr>
          </c:marker>
          <c:cat>
            <c:strLit>
              <c:ptCount val="5"/>
              <c:pt idx="0">
                <c:v>2021</c:v>
              </c:pt>
              <c:pt idx="1">
                <c:v>2022</c:v>
              </c:pt>
              <c:pt idx="2">
                <c:v>2023</c:v>
              </c:pt>
              <c:pt idx="3">
                <c:v>2024</c:v>
              </c:pt>
              <c:pt idx="4">
                <c:v>2025</c:v>
              </c:pt>
            </c:strLit>
          </c:cat>
          <c:val>
            <c:numLit>
              <c:formatCode>General</c:formatCode>
              <c:ptCount val="5"/>
              <c:pt idx="0">
                <c:v>206</c:v>
              </c:pt>
              <c:pt idx="1">
                <c:v>328</c:v>
              </c:pt>
              <c:pt idx="2">
                <c:v>420</c:v>
              </c:pt>
              <c:pt idx="3">
                <c:v>397</c:v>
              </c:pt>
              <c:pt idx="4">
                <c:v>441</c:v>
              </c:pt>
            </c:numLit>
          </c:val>
          <c:smooth val="0"/>
          <c:extLst>
            <c:ext xmlns:c16="http://schemas.microsoft.com/office/drawing/2014/chart" uri="{C3380CC4-5D6E-409C-BE32-E72D297353CC}">
              <c16:uniqueId val="{00000003-CCB9-414E-84C5-6D4E3FA4A711}"/>
            </c:ext>
          </c:extLst>
        </c:ser>
        <c:dLbls>
          <c:showLegendKey val="0"/>
          <c:showVal val="0"/>
          <c:showCatName val="0"/>
          <c:showSerName val="0"/>
          <c:showPercent val="0"/>
          <c:showBubbleSize val="0"/>
        </c:dLbls>
        <c:marker val="1"/>
        <c:smooth val="0"/>
        <c:axId val="854319215"/>
        <c:axId val="854304815"/>
      </c:lineChart>
      <c:catAx>
        <c:axId val="854310575"/>
        <c:scaling>
          <c:orientation val="minMax"/>
        </c:scaling>
        <c:delete val="0"/>
        <c:axPos val="b"/>
        <c:numFmt formatCode="General" sourceLinked="1"/>
        <c:majorTickMark val="out"/>
        <c:minorTickMark val="none"/>
        <c:tickLblPos val="nextTo"/>
        <c:txPr>
          <a:bodyPr/>
          <a:lstStyle/>
          <a:p>
            <a:pPr>
              <a:defRPr sz="1000">
                <a:solidFill>
                  <a:srgbClr val="FFFFFF"/>
                </a:solidFill>
              </a:defRPr>
            </a:pPr>
            <a:endParaRPr lang="en-US"/>
          </a:p>
        </c:txPr>
        <c:crossAx val="854309615"/>
        <c:crosses val="autoZero"/>
        <c:auto val="1"/>
        <c:lblAlgn val="ctr"/>
        <c:lblOffset val="100"/>
        <c:noMultiLvlLbl val="0"/>
      </c:catAx>
      <c:valAx>
        <c:axId val="854309615"/>
        <c:scaling>
          <c:orientation val="minMax"/>
        </c:scaling>
        <c:delete val="0"/>
        <c:axPos val="l"/>
        <c:majorGridlines>
          <c:spPr>
            <a:ln>
              <a:solidFill>
                <a:srgbClr val="2C2C2C"/>
              </a:solidFill>
              <a:prstDash val="solid"/>
            </a:ln>
          </c:spPr>
        </c:majorGridlines>
        <c:numFmt formatCode="General" sourceLinked="1"/>
        <c:majorTickMark val="out"/>
        <c:minorTickMark val="none"/>
        <c:tickLblPos val="nextTo"/>
        <c:txPr>
          <a:bodyPr/>
          <a:lstStyle/>
          <a:p>
            <a:pPr>
              <a:defRPr sz="900">
                <a:solidFill>
                  <a:srgbClr val="C39E6A"/>
                </a:solidFill>
              </a:defRPr>
            </a:pPr>
            <a:endParaRPr lang="en-US"/>
          </a:p>
        </c:txPr>
        <c:crossAx val="854310575"/>
        <c:crosses val="autoZero"/>
        <c:crossBetween val="between"/>
      </c:valAx>
      <c:valAx>
        <c:axId val="854304815"/>
        <c:scaling>
          <c:orientation val="minMax"/>
        </c:scaling>
        <c:delete val="0"/>
        <c:axPos val="r"/>
        <c:numFmt formatCode="General" sourceLinked="1"/>
        <c:majorTickMark val="out"/>
        <c:minorTickMark val="none"/>
        <c:tickLblPos val="nextTo"/>
        <c:txPr>
          <a:bodyPr/>
          <a:lstStyle/>
          <a:p>
            <a:pPr>
              <a:defRPr sz="900">
                <a:solidFill>
                  <a:srgbClr val="FFFFFF"/>
                </a:solidFill>
              </a:defRPr>
            </a:pPr>
            <a:endParaRPr lang="en-US"/>
          </a:p>
        </c:txPr>
        <c:crossAx val="854319215"/>
        <c:crosses val="max"/>
        <c:crossBetween val="between"/>
      </c:valAx>
      <c:catAx>
        <c:axId val="854319215"/>
        <c:scaling>
          <c:orientation val="minMax"/>
        </c:scaling>
        <c:delete val="1"/>
        <c:axPos val="b"/>
        <c:numFmt formatCode="General" sourceLinked="1"/>
        <c:majorTickMark val="out"/>
        <c:minorTickMark val="none"/>
        <c:tickLblPos val="nextTo"/>
        <c:crossAx val="854304815"/>
        <c:crosses val="autoZero"/>
        <c:auto val="1"/>
        <c:lblAlgn val="ctr"/>
        <c:lblOffset val="100"/>
        <c:noMultiLvlLbl val="0"/>
      </c:catAx>
      <c:spPr>
        <a:solidFill>
          <a:srgbClr val="2C2C2C"/>
        </a:solidFill>
        <a:ln w="25400">
          <a:noFill/>
        </a:ln>
      </c:spPr>
    </c:plotArea>
    <c:legend>
      <c:legendPos val="b"/>
      <c:overlay val="0"/>
      <c:spPr>
        <a:solidFill>
          <a:srgbClr val="1C1C1C"/>
        </a:solidFill>
        <a:ln w="25400">
          <a:noFill/>
        </a:ln>
      </c:spPr>
      <c:txPr>
        <a:bodyPr/>
        <a:lstStyle/>
        <a:p>
          <a:pPr>
            <a:defRPr sz="900">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12700">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C39E6A"/>
                </a:solidFill>
              </a:defRPr>
            </a:pPr>
            <a:r>
              <a:rPr lang="en-US"/>
              <a:t>Avg Fan Spend Scenarios 2026-2030: The Cost of Doing Nothing vs. Full Investment</a:t>
            </a:r>
          </a:p>
        </c:rich>
      </c:tx>
      <c:overlay val="0"/>
    </c:title>
    <c:autoTitleDeleted val="0"/>
    <c:plotArea>
      <c:layout/>
      <c:lineChart>
        <c:grouping val="standard"/>
        <c:varyColors val="0"/>
        <c:ser>
          <c:idx val="0"/>
          <c:order val="0"/>
          <c:tx>
            <c:v>Base Case (+5%/yr)</c:v>
          </c:tx>
          <c:spPr>
            <a:ln w="12700">
              <a:solidFill>
                <a:srgbClr val="969696"/>
              </a:solidFill>
              <a:prstDash val="solid"/>
            </a:ln>
          </c:spPr>
          <c:marker>
            <c:symbol val="circle"/>
            <c:size val="7"/>
            <c:spPr>
              <a:solidFill>
                <a:srgbClr val="969696"/>
              </a:solidFill>
              <a:ln>
                <a:solidFill>
                  <a:srgbClr val="969696"/>
                </a:solidFill>
                <a:prstDash val="solid"/>
              </a:ln>
            </c:spPr>
          </c:marker>
          <c:cat>
            <c:strLit>
              <c:ptCount val="6"/>
              <c:pt idx="0">
                <c:v>2025</c:v>
              </c:pt>
              <c:pt idx="1">
                <c:v>2026</c:v>
              </c:pt>
              <c:pt idx="2">
                <c:v>2027</c:v>
              </c:pt>
              <c:pt idx="3">
                <c:v>2028</c:v>
              </c:pt>
              <c:pt idx="4">
                <c:v>2029</c:v>
              </c:pt>
              <c:pt idx="5">
                <c:v>2030</c:v>
              </c:pt>
            </c:strLit>
          </c:cat>
          <c:val>
            <c:numLit>
              <c:formatCode>General</c:formatCode>
              <c:ptCount val="6"/>
              <c:pt idx="0">
                <c:v>441</c:v>
              </c:pt>
              <c:pt idx="1">
                <c:v>463</c:v>
              </c:pt>
              <c:pt idx="2">
                <c:v>486</c:v>
              </c:pt>
              <c:pt idx="3">
                <c:v>511</c:v>
              </c:pt>
              <c:pt idx="4">
                <c:v>536</c:v>
              </c:pt>
              <c:pt idx="5">
                <c:v>563</c:v>
              </c:pt>
            </c:numLit>
          </c:val>
          <c:smooth val="0"/>
          <c:extLst>
            <c:ext xmlns:c16="http://schemas.microsoft.com/office/drawing/2014/chart" uri="{C3380CC4-5D6E-409C-BE32-E72D297353CC}">
              <c16:uniqueId val="{00000002-6948-477E-9913-214D2DA0660D}"/>
            </c:ext>
          </c:extLst>
        </c:ser>
        <c:ser>
          <c:idx val="1"/>
          <c:order val="1"/>
          <c:tx>
            <c:v>Enhanced (+10%/yr)</c:v>
          </c:tx>
          <c:spPr>
            <a:ln w="12700">
              <a:solidFill>
                <a:srgbClr val="C39E6A"/>
              </a:solidFill>
              <a:prstDash val="solid"/>
            </a:ln>
          </c:spPr>
          <c:marker>
            <c:symbol val="circle"/>
            <c:size val="8"/>
            <c:spPr>
              <a:solidFill>
                <a:srgbClr val="C39E6A"/>
              </a:solidFill>
              <a:ln>
                <a:solidFill>
                  <a:srgbClr val="C39E6A"/>
                </a:solidFill>
                <a:prstDash val="solid"/>
              </a:ln>
            </c:spPr>
          </c:marker>
          <c:cat>
            <c:strLit>
              <c:ptCount val="6"/>
              <c:pt idx="0">
                <c:v>2025</c:v>
              </c:pt>
              <c:pt idx="1">
                <c:v>2026</c:v>
              </c:pt>
              <c:pt idx="2">
                <c:v>2027</c:v>
              </c:pt>
              <c:pt idx="3">
                <c:v>2028</c:v>
              </c:pt>
              <c:pt idx="4">
                <c:v>2029</c:v>
              </c:pt>
              <c:pt idx="5">
                <c:v>2030</c:v>
              </c:pt>
            </c:strLit>
          </c:cat>
          <c:val>
            <c:numLit>
              <c:formatCode>General</c:formatCode>
              <c:ptCount val="6"/>
              <c:pt idx="0">
                <c:v>441</c:v>
              </c:pt>
              <c:pt idx="1">
                <c:v>485</c:v>
              </c:pt>
              <c:pt idx="2">
                <c:v>534</c:v>
              </c:pt>
              <c:pt idx="3">
                <c:v>587</c:v>
              </c:pt>
              <c:pt idx="4">
                <c:v>646</c:v>
              </c:pt>
              <c:pt idx="5">
                <c:v>710</c:v>
              </c:pt>
            </c:numLit>
          </c:val>
          <c:smooth val="0"/>
          <c:extLst>
            <c:ext xmlns:c16="http://schemas.microsoft.com/office/drawing/2014/chart" uri="{C3380CC4-5D6E-409C-BE32-E72D297353CC}">
              <c16:uniqueId val="{00000003-6948-477E-9913-214D2DA0660D}"/>
            </c:ext>
          </c:extLst>
        </c:ser>
        <c:ser>
          <c:idx val="2"/>
          <c:order val="2"/>
          <c:tx>
            <c:v>Optimized (+15%/yr)</c:v>
          </c:tx>
          <c:spPr>
            <a:ln w="25400">
              <a:solidFill>
                <a:srgbClr val="FFFFFF"/>
              </a:solidFill>
              <a:prstDash val="solid"/>
            </a:ln>
          </c:spPr>
          <c:marker>
            <c:symbol val="circle"/>
            <c:size val="9"/>
            <c:spPr>
              <a:solidFill>
                <a:srgbClr val="C39E6A"/>
              </a:solidFill>
              <a:ln>
                <a:solidFill>
                  <a:srgbClr val="FFFFFF"/>
                </a:solidFill>
                <a:prstDash val="solid"/>
              </a:ln>
            </c:spPr>
          </c:marker>
          <c:cat>
            <c:strLit>
              <c:ptCount val="6"/>
              <c:pt idx="0">
                <c:v>2025</c:v>
              </c:pt>
              <c:pt idx="1">
                <c:v>2026</c:v>
              </c:pt>
              <c:pt idx="2">
                <c:v>2027</c:v>
              </c:pt>
              <c:pt idx="3">
                <c:v>2028</c:v>
              </c:pt>
              <c:pt idx="4">
                <c:v>2029</c:v>
              </c:pt>
              <c:pt idx="5">
                <c:v>2030</c:v>
              </c:pt>
            </c:strLit>
          </c:cat>
          <c:val>
            <c:numLit>
              <c:formatCode>General</c:formatCode>
              <c:ptCount val="6"/>
              <c:pt idx="0">
                <c:v>441</c:v>
              </c:pt>
              <c:pt idx="1">
                <c:v>507</c:v>
              </c:pt>
              <c:pt idx="2">
                <c:v>584</c:v>
              </c:pt>
              <c:pt idx="3">
                <c:v>672</c:v>
              </c:pt>
              <c:pt idx="4">
                <c:v>773</c:v>
              </c:pt>
              <c:pt idx="5">
                <c:v>889</c:v>
              </c:pt>
            </c:numLit>
          </c:val>
          <c:smooth val="0"/>
          <c:extLst>
            <c:ext xmlns:c16="http://schemas.microsoft.com/office/drawing/2014/chart" uri="{C3380CC4-5D6E-409C-BE32-E72D297353CC}">
              <c16:uniqueId val="{00000004-6948-477E-9913-214D2DA0660D}"/>
            </c:ext>
          </c:extLst>
        </c:ser>
        <c:dLbls>
          <c:showLegendKey val="0"/>
          <c:showVal val="0"/>
          <c:showCatName val="0"/>
          <c:showSerName val="0"/>
          <c:showPercent val="0"/>
          <c:showBubbleSize val="0"/>
        </c:dLbls>
        <c:marker val="1"/>
        <c:smooth val="0"/>
        <c:axId val="854321615"/>
        <c:axId val="854305775"/>
      </c:lineChart>
      <c:catAx>
        <c:axId val="854321615"/>
        <c:scaling>
          <c:orientation val="minMax"/>
        </c:scaling>
        <c:delete val="0"/>
        <c:axPos val="b"/>
        <c:numFmt formatCode="General" sourceLinked="1"/>
        <c:majorTickMark val="out"/>
        <c:minorTickMark val="none"/>
        <c:tickLblPos val="nextTo"/>
        <c:txPr>
          <a:bodyPr/>
          <a:lstStyle/>
          <a:p>
            <a:pPr>
              <a:defRPr sz="1000">
                <a:solidFill>
                  <a:srgbClr val="FFFFFF"/>
                </a:solidFill>
              </a:defRPr>
            </a:pPr>
            <a:endParaRPr lang="en-US"/>
          </a:p>
        </c:txPr>
        <c:crossAx val="854305775"/>
        <c:crosses val="autoZero"/>
        <c:auto val="1"/>
        <c:lblAlgn val="ctr"/>
        <c:lblOffset val="100"/>
        <c:noMultiLvlLbl val="0"/>
      </c:catAx>
      <c:valAx>
        <c:axId val="854305775"/>
        <c:scaling>
          <c:orientation val="minMax"/>
        </c:scaling>
        <c:delete val="0"/>
        <c:axPos val="l"/>
        <c:majorGridlines>
          <c:spPr>
            <a:ln>
              <a:solidFill>
                <a:srgbClr val="2C2C2C"/>
              </a:solidFill>
              <a:prstDash val="solid"/>
            </a:ln>
          </c:spPr>
        </c:majorGridlines>
        <c:numFmt formatCode="General" sourceLinked="1"/>
        <c:majorTickMark val="out"/>
        <c:minorTickMark val="none"/>
        <c:tickLblPos val="nextTo"/>
        <c:txPr>
          <a:bodyPr/>
          <a:lstStyle/>
          <a:p>
            <a:pPr>
              <a:defRPr sz="900">
                <a:solidFill>
                  <a:srgbClr val="C39E6A"/>
                </a:solidFill>
              </a:defRPr>
            </a:pPr>
            <a:endParaRPr lang="en-US"/>
          </a:p>
        </c:txPr>
        <c:crossAx val="854321615"/>
        <c:crosses val="autoZero"/>
        <c:crossBetween val="between"/>
      </c:valAx>
      <c:spPr>
        <a:solidFill>
          <a:srgbClr val="2C2C2C"/>
        </a:solidFill>
        <a:ln w="25400">
          <a:noFill/>
        </a:ln>
      </c:spPr>
    </c:plotArea>
    <c:legend>
      <c:legendPos val="b"/>
      <c:overlay val="0"/>
      <c:spPr>
        <a:solidFill>
          <a:srgbClr val="1C1C1C"/>
        </a:solidFill>
        <a:ln w="25400">
          <a:noFill/>
        </a:ln>
      </c:spPr>
      <c:txPr>
        <a:bodyPr/>
        <a:lstStyle/>
        <a:p>
          <a:pPr>
            <a:defRPr sz="900">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C"/>
    </a:solidFill>
    <a:ln w="1270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9</xdr:col>
      <xdr:colOff>85725</xdr:colOff>
      <xdr:row>38</xdr:row>
      <xdr:rowOff>66675</xdr:rowOff>
    </xdr:to>
    <xdr:graphicFrame macro="">
      <xdr:nvGraphicFramePr>
        <xdr:cNvPr id="2" name="Chart 1">
          <a:extLst>
            <a:ext uri="{FF2B5EF4-FFF2-40B4-BE49-F238E27FC236}">
              <a16:creationId xmlns:a16="http://schemas.microsoft.com/office/drawing/2014/main" id="{CF4304BC-7AA2-B439-C7E1-A38D05508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38</xdr:row>
      <xdr:rowOff>103717</xdr:rowOff>
    </xdr:from>
    <xdr:to>
      <xdr:col>9</xdr:col>
      <xdr:colOff>166309</xdr:colOff>
      <xdr:row>43</xdr:row>
      <xdr:rowOff>40267</xdr:rowOff>
    </xdr:to>
    <xdr:sp macro="" textlink="">
      <xdr:nvSpPr>
        <xdr:cNvPr id="3" name="TextBox 2">
          <a:extLst>
            <a:ext uri="{FF2B5EF4-FFF2-40B4-BE49-F238E27FC236}">
              <a16:creationId xmlns:a16="http://schemas.microsoft.com/office/drawing/2014/main" id="{360C4C32-8D17-A2C5-411C-FF576C6D6F59}"/>
            </a:ext>
          </a:extLst>
        </xdr:cNvPr>
        <xdr:cNvSpPr txBox="1"/>
      </xdr:nvSpPr>
      <xdr:spPr>
        <a:xfrm>
          <a:off x="1" y="7776634"/>
          <a:ext cx="9237737" cy="843693"/>
        </a:xfrm>
        <a:prstGeom prst="rect">
          <a:avLst/>
        </a:prstGeom>
        <a:solidFill>
          <a:srgbClr val="1C1C1C"/>
        </a:solidFill>
        <a:ln w="19050" cmpd="sng">
          <a:solidFill>
            <a:srgbClr val="C39E6A"/>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spAutoFit/>
        </a:bodyPr>
        <a:lstStyle/>
        <a:p>
          <a:r>
            <a:rPr lang="en-US" sz="1000" b="1">
              <a:solidFill>
                <a:srgbClr val="C39E6A"/>
              </a:solidFill>
            </a:rPr>
            <a:t>WHY DID ENGAGEMENT PEAK IN 2022 THEN DECLINE?</a:t>
          </a:r>
        </a:p>
        <a:p>
          <a:r>
            <a:rPr lang="en-US" sz="1100"/>
            <a:t>T</a:t>
          </a:r>
          <a:r>
            <a:rPr lang="en-US" sz="900" b="0">
              <a:solidFill>
                <a:srgbClr val="FFFFFF"/>
              </a:solidFill>
            </a:rPr>
            <a:t>hree forces created the 2022 surge: (1) FULL CAPACITY RETURNED -- BMO Stadium operated at 50-75% in 2021 due to COVID protocols, opening fully in 2022 and releasing pent-up demand. (2) LAFC WON THE MLS CUP CHAMPIONSHIP -- the club's first-ever title drove record attendance, media exposure, and first-time fan acquisition. (3) MAJOR SOLD-OUT CONCERTS AT BMO -- brought non-LAFC audiences to the stadium for the first time. The 2023-2024 drop reflects post-championship normalization, a pattern seen across all MLS title-winning clubs. The KEY STORY is the spend line: even as survey volume fell, avg spend per fan grew +114% from $206 in 2021 to $441 in 2025. Each fan is worth more than ever before.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8</xdr:col>
      <xdr:colOff>557212</xdr:colOff>
      <xdr:row>38</xdr:row>
      <xdr:rowOff>66675</xdr:rowOff>
    </xdr:to>
    <xdr:graphicFrame macro="">
      <xdr:nvGraphicFramePr>
        <xdr:cNvPr id="2" name="Chart 1">
          <a:extLst>
            <a:ext uri="{FF2B5EF4-FFF2-40B4-BE49-F238E27FC236}">
              <a16:creationId xmlns:a16="http://schemas.microsoft.com/office/drawing/2014/main" id="{1B5D633E-FF58-F903-8145-E4CECE4E3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38</xdr:row>
      <xdr:rowOff>65231</xdr:rowOff>
    </xdr:from>
    <xdr:to>
      <xdr:col>8</xdr:col>
      <xdr:colOff>577273</xdr:colOff>
      <xdr:row>42</xdr:row>
      <xdr:rowOff>144317</xdr:rowOff>
    </xdr:to>
    <xdr:sp macro="" textlink="">
      <xdr:nvSpPr>
        <xdr:cNvPr id="3" name="TextBox 2">
          <a:extLst>
            <a:ext uri="{FF2B5EF4-FFF2-40B4-BE49-F238E27FC236}">
              <a16:creationId xmlns:a16="http://schemas.microsoft.com/office/drawing/2014/main" id="{B28CFEB2-D68E-4B91-9991-34DE0343E6AD}"/>
            </a:ext>
          </a:extLst>
        </xdr:cNvPr>
        <xdr:cNvSpPr txBox="1"/>
      </xdr:nvSpPr>
      <xdr:spPr>
        <a:xfrm>
          <a:off x="0" y="7692448"/>
          <a:ext cx="9164205" cy="800677"/>
        </a:xfrm>
        <a:prstGeom prst="rect">
          <a:avLst/>
        </a:prstGeom>
        <a:solidFill>
          <a:srgbClr val="1C1C1C"/>
        </a:solidFill>
        <a:ln w="19050" cmpd="sng">
          <a:solidFill>
            <a:srgbClr val="C39E6A"/>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noAutofit/>
        </a:bodyPr>
        <a:lstStyle/>
        <a:p>
          <a:r>
            <a:rPr lang="en-US" sz="1000" b="1">
              <a:solidFill>
                <a:srgbClr val="C39E6A"/>
              </a:solidFill>
            </a:rPr>
            <a:t>THE PREMIUM TIER IS THE SINGLE BIGGEST REVENUE LEVER</a:t>
          </a:r>
        </a:p>
        <a:p>
          <a:r>
            <a:rPr lang="en-US" sz="1100"/>
            <a:t>V</a:t>
          </a:r>
          <a:r>
            <a:rPr lang="en-US" sz="900" b="0">
              <a:solidFill>
                <a:srgbClr val="FFFFFF"/>
              </a:solidFill>
            </a:rPr>
            <a:t>IP Floor/Pit fans (just 65 surveyed) spend $573 avg per visit -- 2.4x more than Premium and 5.6x more than Supporters. Floor/Pit at $485 avg is the largest revenue segment at $945K total. OPPORTUNITY: Converting just 5% of General fans (194 people) from $240 to $485 avg generates an estimated $47,000 in incremental revenue per event. At 17 home games plus concerts, premium tier expansion is worth hundreds of thousands annually. Priority for 2026: Create aspirational tier experiences that make the step from General to Floor/Pit feel achievable and desirable.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18</xdr:row>
      <xdr:rowOff>0</xdr:rowOff>
    </xdr:from>
    <xdr:to>
      <xdr:col>9</xdr:col>
      <xdr:colOff>590550</xdr:colOff>
      <xdr:row>53</xdr:row>
      <xdr:rowOff>142875</xdr:rowOff>
    </xdr:to>
    <xdr:graphicFrame macro="">
      <xdr:nvGraphicFramePr>
        <xdr:cNvPr id="2" name="Chart 1">
          <a:extLst>
            <a:ext uri="{FF2B5EF4-FFF2-40B4-BE49-F238E27FC236}">
              <a16:creationId xmlns:a16="http://schemas.microsoft.com/office/drawing/2014/main" id="{18D05775-1E9E-0D2D-59B5-CA3760754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4765</xdr:colOff>
      <xdr:row>53</xdr:row>
      <xdr:rowOff>147554</xdr:rowOff>
    </xdr:from>
    <xdr:to>
      <xdr:col>9</xdr:col>
      <xdr:colOff>609601</xdr:colOff>
      <xdr:row>58</xdr:row>
      <xdr:rowOff>1898</xdr:rowOff>
    </xdr:to>
    <xdr:sp macro="" textlink="">
      <xdr:nvSpPr>
        <xdr:cNvPr id="3" name="TextBox 2">
          <a:extLst>
            <a:ext uri="{FF2B5EF4-FFF2-40B4-BE49-F238E27FC236}">
              <a16:creationId xmlns:a16="http://schemas.microsoft.com/office/drawing/2014/main" id="{29B90786-E1FE-255E-8541-78084E227EC7}"/>
            </a:ext>
          </a:extLst>
        </xdr:cNvPr>
        <xdr:cNvSpPr txBox="1"/>
      </xdr:nvSpPr>
      <xdr:spPr>
        <a:xfrm>
          <a:off x="4765" y="11251699"/>
          <a:ext cx="9139737" cy="706581"/>
        </a:xfrm>
        <a:prstGeom prst="rect">
          <a:avLst/>
        </a:prstGeom>
        <a:solidFill>
          <a:srgbClr val="1C1C1C"/>
        </a:solidFill>
        <a:ln w="19050" cmpd="sng">
          <a:solidFill>
            <a:srgbClr val="C39E6A"/>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spAutoFit/>
        </a:bodyPr>
        <a:lstStyle/>
        <a:p>
          <a:r>
            <a:rPr lang="en-US" sz="1000" b="1">
              <a:solidFill>
                <a:srgbClr val="C39E6A"/>
              </a:solidFill>
            </a:rPr>
            <a:t>PAIN POINTS ARE REVENUE DRAINS, NOT JUST COMPLAINTS</a:t>
          </a:r>
        </a:p>
        <a:p>
          <a:r>
            <a:rPr lang="en-US" sz="1100"/>
            <a:t>T</a:t>
          </a:r>
          <a:r>
            <a:rPr lang="en-US" sz="900" b="0">
              <a:solidFill>
                <a:srgbClr val="FFFFFF"/>
              </a:solidFill>
            </a:rPr>
            <a:t>he top 3 categories -- Food and Beverage (16.1%), Parking (13.8%), and Entry/Signage (11.3%) -- represent 41% of all feedback. Each is a direct revenue drain: fans stuck in 20-minute beer lines skip the purchase; fans burned by $60 parking arrive stressed and spend less; fans confused at entry miss the first 15 minutes and the concession opportunity that comes with it. Research shows reducing F and B wait times by 30% correlates with 8-12% higher per-cap spend. Fixing these three areas is estimated to unlock $40-60 per fan in incremental revenue at BMO.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0</xdr:rowOff>
    </xdr:from>
    <xdr:to>
      <xdr:col>7</xdr:col>
      <xdr:colOff>488950</xdr:colOff>
      <xdr:row>36</xdr:row>
      <xdr:rowOff>174625</xdr:rowOff>
    </xdr:to>
    <xdr:graphicFrame macro="">
      <xdr:nvGraphicFramePr>
        <xdr:cNvPr id="2" name="Chart 1">
          <a:extLst>
            <a:ext uri="{FF2B5EF4-FFF2-40B4-BE49-F238E27FC236}">
              <a16:creationId xmlns:a16="http://schemas.microsoft.com/office/drawing/2014/main" id="{445B1CD5-CBE7-1FB1-ED4E-30F77EFA7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36</xdr:row>
      <xdr:rowOff>155575</xdr:rowOff>
    </xdr:from>
    <xdr:to>
      <xdr:col>7</xdr:col>
      <xdr:colOff>494926</xdr:colOff>
      <xdr:row>42</xdr:row>
      <xdr:rowOff>158749</xdr:rowOff>
    </xdr:to>
    <xdr:sp macro="" textlink="">
      <xdr:nvSpPr>
        <xdr:cNvPr id="3" name="TextBox 2">
          <a:extLst>
            <a:ext uri="{FF2B5EF4-FFF2-40B4-BE49-F238E27FC236}">
              <a16:creationId xmlns:a16="http://schemas.microsoft.com/office/drawing/2014/main" id="{8C7FFE87-5B8E-E9AE-51DB-60CF730AF447}"/>
            </a:ext>
          </a:extLst>
        </xdr:cNvPr>
        <xdr:cNvSpPr txBox="1"/>
      </xdr:nvSpPr>
      <xdr:spPr>
        <a:xfrm>
          <a:off x="1" y="7299326"/>
          <a:ext cx="8890000" cy="1067733"/>
        </a:xfrm>
        <a:prstGeom prst="rect">
          <a:avLst/>
        </a:prstGeom>
        <a:solidFill>
          <a:srgbClr val="1C1C1C"/>
        </a:solidFill>
        <a:ln w="19050" cmpd="sng">
          <a:solidFill>
            <a:srgbClr val="C39E6A"/>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noAutofit/>
        </a:bodyPr>
        <a:lstStyle/>
        <a:p>
          <a:r>
            <a:rPr lang="en-US" sz="1000" b="1">
              <a:solidFill>
                <a:srgbClr val="C39E6A"/>
              </a:solidFill>
            </a:rPr>
            <a:t>THE MEMBER PARADOX: WHY NON-MEMBERS SPEND 92% MORE</a:t>
          </a:r>
        </a:p>
        <a:p>
          <a:r>
            <a:rPr lang="en-US" sz="1100"/>
            <a:t>L</a:t>
          </a:r>
          <a:r>
            <a:rPr lang="en-US" sz="900" b="0">
              <a:solidFill>
                <a:srgbClr val="FFFFFF"/>
              </a:solidFill>
            </a:rPr>
            <a:t>AFC Members avg $279 vs. non-members $535 per visit. This is not a loyalty problem -- it is a program design problem. Membership perks (complimentary parking, F and B credits, discounted tickets) reduce the recorded spend per visit rather than increasing it. The member gets more value but generates less transaction revenue. The 2026-2030 solution: redesign the membership program to shift rewards from spend-reducing discounts to spend-enhancing premium experiences -- exclusive lounges, priority upgrades, early-access events -- that incentivize members to spend MORE in-venue, not less. Target: close the gap from $279 to $400+ by 2028.</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11</xdr:row>
      <xdr:rowOff>0</xdr:rowOff>
    </xdr:from>
    <xdr:to>
      <xdr:col>8</xdr:col>
      <xdr:colOff>557212</xdr:colOff>
      <xdr:row>37</xdr:row>
      <xdr:rowOff>120650</xdr:rowOff>
    </xdr:to>
    <xdr:graphicFrame macro="">
      <xdr:nvGraphicFramePr>
        <xdr:cNvPr id="2" name="Chart 1">
          <a:extLst>
            <a:ext uri="{FF2B5EF4-FFF2-40B4-BE49-F238E27FC236}">
              <a16:creationId xmlns:a16="http://schemas.microsoft.com/office/drawing/2014/main" id="{B3EFE93A-1329-652D-A236-BC4BF5848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37</xdr:row>
      <xdr:rowOff>117476</xdr:rowOff>
    </xdr:from>
    <xdr:to>
      <xdr:col>8</xdr:col>
      <xdr:colOff>564696</xdr:colOff>
      <xdr:row>42</xdr:row>
      <xdr:rowOff>42687</xdr:rowOff>
    </xdr:to>
    <xdr:sp macro="" textlink="">
      <xdr:nvSpPr>
        <xdr:cNvPr id="3" name="TextBox 2">
          <a:extLst>
            <a:ext uri="{FF2B5EF4-FFF2-40B4-BE49-F238E27FC236}">
              <a16:creationId xmlns:a16="http://schemas.microsoft.com/office/drawing/2014/main" id="{1457FF2A-86A9-E867-6A73-8324E9F77A10}"/>
            </a:ext>
          </a:extLst>
        </xdr:cNvPr>
        <xdr:cNvSpPr txBox="1"/>
      </xdr:nvSpPr>
      <xdr:spPr>
        <a:xfrm>
          <a:off x="1" y="7662637"/>
          <a:ext cx="9137195" cy="843693"/>
        </a:xfrm>
        <a:prstGeom prst="rect">
          <a:avLst/>
        </a:prstGeom>
        <a:solidFill>
          <a:srgbClr val="1C1C1C"/>
        </a:solidFill>
        <a:ln w="19050" cmpd="sng">
          <a:solidFill>
            <a:srgbClr val="C39E6A"/>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spAutoFit/>
        </a:bodyPr>
        <a:lstStyle/>
        <a:p>
          <a:r>
            <a:rPr lang="en-US" sz="1000" b="1">
              <a:solidFill>
                <a:srgbClr val="C39E6A"/>
              </a:solidFill>
            </a:rPr>
            <a:t>53% OF FANS SPEND UNDER $250 -- THE BIGGEST UNLOCK OPPORTUNITY</a:t>
          </a:r>
        </a:p>
        <a:p>
          <a:r>
            <a:rPr lang="en-US" sz="1100"/>
            <a:t>T</a:t>
          </a:r>
          <a:r>
            <a:rPr lang="en-US" sz="900" b="0">
              <a:solidFill>
                <a:srgbClr val="FFFFFF"/>
              </a:solidFill>
            </a:rPr>
            <a:t>he largest fan segment (36.8%, n=2,464) spends $100-$250 per visit. These Core Fans already come to BMO, spend at a moderate level, and their primary barrier to spending more is OPERATIONAL -- F and B wait times, confusing entry flows, parking stress. These fans are not price-resistant; they are friction-sensitive. If just 20% of the $100-$250 segment increased their spend from $175 avg to $300, annual revenue would increase by approximately $305,000 per survey cycle. At full 22,000-seat stadium scale across 17 home games, removing friction for Core Fans is a multi-million dollar annual opportunity.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11</xdr:row>
      <xdr:rowOff>0</xdr:rowOff>
    </xdr:from>
    <xdr:to>
      <xdr:col>7</xdr:col>
      <xdr:colOff>490537</xdr:colOff>
      <xdr:row>38</xdr:row>
      <xdr:rowOff>66675</xdr:rowOff>
    </xdr:to>
    <xdr:graphicFrame macro="">
      <xdr:nvGraphicFramePr>
        <xdr:cNvPr id="2" name="Chart 1">
          <a:extLst>
            <a:ext uri="{FF2B5EF4-FFF2-40B4-BE49-F238E27FC236}">
              <a16:creationId xmlns:a16="http://schemas.microsoft.com/office/drawing/2014/main" id="{85DCA7B7-D2A5-B273-173D-C227F74F4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38</xdr:row>
      <xdr:rowOff>50800</xdr:rowOff>
    </xdr:from>
    <xdr:to>
      <xdr:col>7</xdr:col>
      <xdr:colOff>487326</xdr:colOff>
      <xdr:row>42</xdr:row>
      <xdr:rowOff>110755</xdr:rowOff>
    </xdr:to>
    <xdr:sp macro="" textlink="">
      <xdr:nvSpPr>
        <xdr:cNvPr id="3" name="TextBox 2">
          <a:extLst>
            <a:ext uri="{FF2B5EF4-FFF2-40B4-BE49-F238E27FC236}">
              <a16:creationId xmlns:a16="http://schemas.microsoft.com/office/drawing/2014/main" id="{57EB58EB-5D4A-EA6D-ED9A-7A7DA0E45F14}"/>
            </a:ext>
          </a:extLst>
        </xdr:cNvPr>
        <xdr:cNvSpPr txBox="1"/>
      </xdr:nvSpPr>
      <xdr:spPr>
        <a:xfrm>
          <a:off x="0" y="9487195"/>
          <a:ext cx="9126279" cy="768793"/>
        </a:xfrm>
        <a:prstGeom prst="rect">
          <a:avLst/>
        </a:prstGeom>
        <a:solidFill>
          <a:srgbClr val="1C1C1C"/>
        </a:solidFill>
        <a:ln w="19050" cmpd="sng">
          <a:solidFill>
            <a:srgbClr val="C39E6A"/>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noAutofit/>
        </a:bodyPr>
        <a:lstStyle/>
        <a:p>
          <a:r>
            <a:rPr lang="en-US" sz="1000" b="1">
              <a:solidFill>
                <a:srgbClr val="C39E6A"/>
              </a:solidFill>
            </a:rPr>
            <a:t>THE REAL STORY: QUALITY IS REPLACING QUANTITY</a:t>
          </a:r>
        </a:p>
        <a:p>
          <a:pPr algn="l"/>
          <a:r>
            <a:rPr lang="en-US" sz="1100"/>
            <a:t>T</a:t>
          </a:r>
          <a:r>
            <a:rPr lang="en-US" sz="900" b="0">
              <a:solidFill>
                <a:srgbClr val="FFFFFF"/>
              </a:solidFill>
            </a:rPr>
            <a:t>he 2022 championship year brought a flood of one-time and casual fans. As that surge normalized, the fans who stayed are spending more -- median spend grew from $159 in 2021 to $359 in 2024 </a:t>
          </a:r>
        </a:p>
        <a:p>
          <a:pPr algn="l"/>
          <a:r>
            <a:rPr lang="en-US" sz="900" b="0">
              <a:solidFill>
                <a:srgbClr val="FFFFFF"/>
              </a:solidFill>
            </a:rPr>
            <a:t>even as survey volume fell. This is a HEALTHY signal if managed correctly: the fan base is becoming concentrated in high-value, high-engagement attendees. The 2026-2030 strategy must pursue</a:t>
          </a:r>
        </a:p>
        <a:p>
          <a:pPr algn="l"/>
          <a:r>
            <a:rPr lang="en-US" sz="900" b="0">
              <a:solidFill>
                <a:srgbClr val="FFFFFF"/>
              </a:solidFill>
            </a:rPr>
            <a:t> BOTH recovery (re-acquiring the casual 2022 fans through championship-caliber experiences) AND deepening spend from the loyal core who never left.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8</xdr:col>
      <xdr:colOff>557212</xdr:colOff>
      <xdr:row>45</xdr:row>
      <xdr:rowOff>12700</xdr:rowOff>
    </xdr:to>
    <xdr:graphicFrame macro="">
      <xdr:nvGraphicFramePr>
        <xdr:cNvPr id="2" name="Chart 1">
          <a:extLst>
            <a:ext uri="{FF2B5EF4-FFF2-40B4-BE49-F238E27FC236}">
              <a16:creationId xmlns:a16="http://schemas.microsoft.com/office/drawing/2014/main" id="{0B5E72D3-7AF1-DB7F-0FE3-B5E75D9C4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24342</xdr:rowOff>
    </xdr:from>
    <xdr:to>
      <xdr:col>8</xdr:col>
      <xdr:colOff>583163</xdr:colOff>
      <xdr:row>49</xdr:row>
      <xdr:rowOff>129361</xdr:rowOff>
    </xdr:to>
    <xdr:sp macro="" textlink="">
      <xdr:nvSpPr>
        <xdr:cNvPr id="3" name="TextBox 2">
          <a:extLst>
            <a:ext uri="{FF2B5EF4-FFF2-40B4-BE49-F238E27FC236}">
              <a16:creationId xmlns:a16="http://schemas.microsoft.com/office/drawing/2014/main" id="{6EB11C00-8A17-5B86-762E-BF030410D3DA}"/>
            </a:ext>
          </a:extLst>
        </xdr:cNvPr>
        <xdr:cNvSpPr txBox="1"/>
      </xdr:nvSpPr>
      <xdr:spPr>
        <a:xfrm>
          <a:off x="0" y="9481307"/>
          <a:ext cx="9194541" cy="843693"/>
        </a:xfrm>
        <a:prstGeom prst="rect">
          <a:avLst/>
        </a:prstGeom>
        <a:solidFill>
          <a:srgbClr val="1C1C1C"/>
        </a:solidFill>
        <a:ln w="19050" cmpd="sng">
          <a:solidFill>
            <a:srgbClr val="C39E6A"/>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spAutoFit/>
        </a:bodyPr>
        <a:lstStyle/>
        <a:p>
          <a:r>
            <a:rPr lang="en-US" sz="1000" b="1">
              <a:solidFill>
                <a:srgbClr val="C39E6A"/>
              </a:solidFill>
            </a:rPr>
            <a:t>THE BUSINESS CASE: $326 PER FAN PER VISIT DIFFERENCE BY 2030</a:t>
          </a:r>
        </a:p>
        <a:p>
          <a:r>
            <a:rPr lang="en-US" sz="1100"/>
            <a:t>B</a:t>
          </a:r>
          <a:r>
            <a:rPr lang="en-US" sz="900" b="0">
              <a:solidFill>
                <a:srgbClr val="FFFFFF"/>
              </a:solidFill>
            </a:rPr>
            <a:t>y 2030, the gap between Base Case (no change, $563) and Optimized (full investment, $889) is $326 per fan per visit. At BMO Stadium full capacity (22,000 seats) across 17 MLS home games, this compounds to tens of millions in annual revenue. The three critical investments driving the Optimized scenario: (1) Fixing F and B and parking friction -- the top 2 complaints, directly suppressing spend. (2) Premium tier expansion -- VIP and Floor/Pit fans spend 2-5x more; every seat conversion multiplies revenue. (3) Membership program redesign -- shifting 1,677 members from $279 to $400+ avg adds $200K+ annually before accounting for retention savings.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4D658-EAF4-4FB0-97CF-F1F15B434895}">
  <sheetPr>
    <tabColor rgb="FFC39E6A"/>
  </sheetPr>
  <dimension ref="A1:L20"/>
  <sheetViews>
    <sheetView zoomScale="77" workbookViewId="0">
      <selection sqref="A1:L1"/>
    </sheetView>
  </sheetViews>
  <sheetFormatPr defaultRowHeight="14.25" x14ac:dyDescent="0.45"/>
  <cols>
    <col min="1" max="12" width="11.59765625" customWidth="1"/>
  </cols>
  <sheetData>
    <row r="1" spans="1:12" ht="48" customHeight="1" x14ac:dyDescent="0.45">
      <c r="A1" s="29" t="s">
        <v>0</v>
      </c>
      <c r="B1" s="29"/>
      <c r="C1" s="29"/>
      <c r="D1" s="29"/>
      <c r="E1" s="29"/>
      <c r="F1" s="29"/>
      <c r="G1" s="29"/>
      <c r="H1" s="29"/>
      <c r="I1" s="29"/>
      <c r="J1" s="29"/>
      <c r="K1" s="29"/>
      <c r="L1" s="29"/>
    </row>
    <row r="2" spans="1:12" ht="30" customHeight="1" x14ac:dyDescent="0.45">
      <c r="A2" s="30" t="s">
        <v>1</v>
      </c>
      <c r="B2" s="30"/>
      <c r="C2" s="30"/>
      <c r="D2" s="30"/>
      <c r="E2" s="30"/>
      <c r="F2" s="30"/>
      <c r="G2" s="30"/>
      <c r="H2" s="30"/>
      <c r="I2" s="30"/>
      <c r="J2" s="30"/>
      <c r="K2" s="30"/>
      <c r="L2" s="30"/>
    </row>
    <row r="3" spans="1:12" ht="20" customHeight="1" x14ac:dyDescent="0.45">
      <c r="A3" s="31" t="s">
        <v>2</v>
      </c>
      <c r="B3" s="31"/>
      <c r="C3" s="31"/>
      <c r="D3" s="31"/>
      <c r="E3" s="31"/>
      <c r="F3" s="31"/>
      <c r="G3" s="31"/>
      <c r="H3" s="31"/>
      <c r="I3" s="31"/>
      <c r="J3" s="31"/>
      <c r="K3" s="31"/>
      <c r="L3" s="31"/>
    </row>
    <row r="4" spans="1:12" ht="8" customHeight="1" x14ac:dyDescent="0.45">
      <c r="A4" s="1"/>
      <c r="B4" s="1"/>
      <c r="C4" s="1"/>
      <c r="D4" s="1"/>
      <c r="E4" s="1"/>
      <c r="F4" s="1"/>
      <c r="G4" s="1"/>
      <c r="H4" s="1"/>
      <c r="I4" s="1"/>
      <c r="J4" s="1"/>
      <c r="K4" s="1"/>
      <c r="L4" s="1"/>
    </row>
    <row r="5" spans="1:12" ht="3" customHeight="1" x14ac:dyDescent="0.45">
      <c r="A5" s="2"/>
      <c r="B5" s="2"/>
      <c r="C5" s="2"/>
      <c r="D5" s="2"/>
      <c r="E5" s="2"/>
      <c r="F5" s="2"/>
      <c r="G5" s="2"/>
      <c r="H5" s="2"/>
      <c r="I5" s="2"/>
      <c r="J5" s="2"/>
      <c r="K5" s="2"/>
      <c r="L5" s="2"/>
    </row>
    <row r="6" spans="1:12" ht="40.049999999999997" customHeight="1" x14ac:dyDescent="0.45">
      <c r="A6" s="32" t="s">
        <v>3</v>
      </c>
      <c r="B6" s="33"/>
      <c r="C6" s="32" t="s">
        <v>6</v>
      </c>
      <c r="D6" s="33"/>
      <c r="E6" s="32" t="s">
        <v>9</v>
      </c>
      <c r="F6" s="33"/>
      <c r="G6" s="32" t="s">
        <v>12</v>
      </c>
      <c r="H6" s="33"/>
      <c r="I6" s="32" t="s">
        <v>15</v>
      </c>
      <c r="J6" s="33"/>
      <c r="K6" s="32" t="s">
        <v>18</v>
      </c>
      <c r="L6" s="33"/>
    </row>
    <row r="7" spans="1:12" x14ac:dyDescent="0.45">
      <c r="A7" s="34"/>
      <c r="B7" s="35"/>
      <c r="C7" s="34"/>
      <c r="D7" s="35"/>
      <c r="E7" s="34"/>
      <c r="F7" s="35"/>
      <c r="G7" s="34"/>
      <c r="H7" s="35"/>
      <c r="I7" s="34"/>
      <c r="J7" s="35"/>
      <c r="K7" s="34"/>
      <c r="L7" s="35"/>
    </row>
    <row r="8" spans="1:12" x14ac:dyDescent="0.45">
      <c r="A8" s="34"/>
      <c r="B8" s="35"/>
      <c r="C8" s="34"/>
      <c r="D8" s="35"/>
      <c r="E8" s="34"/>
      <c r="F8" s="35"/>
      <c r="G8" s="34"/>
      <c r="H8" s="35"/>
      <c r="I8" s="34"/>
      <c r="J8" s="35"/>
      <c r="K8" s="34"/>
      <c r="L8" s="35"/>
    </row>
    <row r="9" spans="1:12" ht="20" customHeight="1" x14ac:dyDescent="0.45">
      <c r="A9" s="36" t="s">
        <v>4</v>
      </c>
      <c r="B9" s="37"/>
      <c r="C9" s="36" t="s">
        <v>7</v>
      </c>
      <c r="D9" s="37"/>
      <c r="E9" s="36" t="s">
        <v>10</v>
      </c>
      <c r="F9" s="37"/>
      <c r="G9" s="36" t="s">
        <v>13</v>
      </c>
      <c r="H9" s="37"/>
      <c r="I9" s="36" t="s">
        <v>16</v>
      </c>
      <c r="J9" s="37"/>
      <c r="K9" s="36" t="s">
        <v>19</v>
      </c>
      <c r="L9" s="37"/>
    </row>
    <row r="10" spans="1:12" ht="14" customHeight="1" x14ac:dyDescent="0.45">
      <c r="A10" s="39" t="s">
        <v>5</v>
      </c>
      <c r="B10" s="40"/>
      <c r="C10" s="39" t="s">
        <v>8</v>
      </c>
      <c r="D10" s="40"/>
      <c r="E10" s="39" t="s">
        <v>11</v>
      </c>
      <c r="F10" s="40"/>
      <c r="G10" s="39" t="s">
        <v>14</v>
      </c>
      <c r="H10" s="40"/>
      <c r="I10" s="39" t="s">
        <v>17</v>
      </c>
      <c r="J10" s="40"/>
      <c r="K10" s="39" t="s">
        <v>20</v>
      </c>
      <c r="L10" s="40"/>
    </row>
    <row r="11" spans="1:12" ht="3" customHeight="1" x14ac:dyDescent="0.45">
      <c r="A11" s="2"/>
      <c r="B11" s="2"/>
      <c r="C11" s="2"/>
      <c r="D11" s="2"/>
      <c r="E11" s="2"/>
      <c r="F11" s="2"/>
      <c r="G11" s="2"/>
      <c r="H11" s="2"/>
      <c r="I11" s="2"/>
      <c r="J11" s="2"/>
      <c r="K11" s="2"/>
      <c r="L11" s="2"/>
    </row>
    <row r="12" spans="1:12" ht="28.05" customHeight="1" x14ac:dyDescent="0.45">
      <c r="A12" s="41" t="s">
        <v>21</v>
      </c>
      <c r="B12" s="41"/>
      <c r="C12" s="41"/>
      <c r="D12" s="41"/>
      <c r="E12" s="41"/>
      <c r="F12" s="41"/>
      <c r="G12" s="41"/>
      <c r="H12" s="41"/>
      <c r="I12" s="41"/>
      <c r="J12" s="41"/>
      <c r="K12" s="41"/>
      <c r="L12" s="41"/>
    </row>
    <row r="13" spans="1:12" ht="20" customHeight="1" x14ac:dyDescent="0.45">
      <c r="A13" s="42" t="s">
        <v>22</v>
      </c>
      <c r="B13" s="42"/>
      <c r="C13" s="42"/>
      <c r="D13" s="42"/>
      <c r="E13" s="42"/>
      <c r="F13" s="42"/>
      <c r="G13" s="42"/>
      <c r="H13" s="42"/>
      <c r="I13" s="42"/>
      <c r="J13" s="42"/>
      <c r="K13" s="42"/>
      <c r="L13" s="42"/>
    </row>
    <row r="14" spans="1:12" ht="20" customHeight="1" x14ac:dyDescent="0.45">
      <c r="A14" s="38" t="s">
        <v>23</v>
      </c>
      <c r="B14" s="38"/>
      <c r="C14" s="38"/>
      <c r="D14" s="38"/>
      <c r="E14" s="38"/>
      <c r="F14" s="38"/>
      <c r="G14" s="38"/>
      <c r="H14" s="38"/>
      <c r="I14" s="38"/>
      <c r="J14" s="38"/>
      <c r="K14" s="38"/>
      <c r="L14" s="38"/>
    </row>
    <row r="15" spans="1:12" ht="20" customHeight="1" x14ac:dyDescent="0.45">
      <c r="A15" s="42" t="s">
        <v>24</v>
      </c>
      <c r="B15" s="42"/>
      <c r="C15" s="42"/>
      <c r="D15" s="42"/>
      <c r="E15" s="42"/>
      <c r="F15" s="42"/>
      <c r="G15" s="42"/>
      <c r="H15" s="42"/>
      <c r="I15" s="42"/>
      <c r="J15" s="42"/>
      <c r="K15" s="42"/>
      <c r="L15" s="42"/>
    </row>
    <row r="16" spans="1:12" ht="20" customHeight="1" x14ac:dyDescent="0.45">
      <c r="A16" s="38" t="s">
        <v>25</v>
      </c>
      <c r="B16" s="38"/>
      <c r="C16" s="38"/>
      <c r="D16" s="38"/>
      <c r="E16" s="38"/>
      <c r="F16" s="38"/>
      <c r="G16" s="38"/>
      <c r="H16" s="38"/>
      <c r="I16" s="38"/>
      <c r="J16" s="38"/>
      <c r="K16" s="38"/>
      <c r="L16" s="38"/>
    </row>
    <row r="17" spans="1:12" ht="20" customHeight="1" x14ac:dyDescent="0.45">
      <c r="A17" s="42" t="s">
        <v>26</v>
      </c>
      <c r="B17" s="42"/>
      <c r="C17" s="42"/>
      <c r="D17" s="42"/>
      <c r="E17" s="42"/>
      <c r="F17" s="42"/>
      <c r="G17" s="42"/>
      <c r="H17" s="42"/>
      <c r="I17" s="42"/>
      <c r="J17" s="42"/>
      <c r="K17" s="42"/>
      <c r="L17" s="42"/>
    </row>
    <row r="18" spans="1:12" ht="20" customHeight="1" x14ac:dyDescent="0.45">
      <c r="A18" s="38" t="s">
        <v>27</v>
      </c>
      <c r="B18" s="38"/>
      <c r="C18" s="38"/>
      <c r="D18" s="38"/>
      <c r="E18" s="38"/>
      <c r="F18" s="38"/>
      <c r="G18" s="38"/>
      <c r="H18" s="38"/>
      <c r="I18" s="38"/>
      <c r="J18" s="38"/>
      <c r="K18" s="38"/>
      <c r="L18" s="38"/>
    </row>
    <row r="19" spans="1:12" ht="3" customHeight="1" x14ac:dyDescent="0.45">
      <c r="A19" s="1"/>
      <c r="B19" s="1"/>
      <c r="C19" s="1"/>
      <c r="D19" s="1"/>
      <c r="E19" s="1"/>
      <c r="F19" s="1"/>
      <c r="G19" s="1"/>
      <c r="H19" s="1"/>
      <c r="I19" s="1"/>
      <c r="J19" s="1"/>
      <c r="K19" s="1"/>
      <c r="L19" s="1"/>
    </row>
    <row r="20" spans="1:12" ht="16.05" customHeight="1" x14ac:dyDescent="0.45">
      <c r="A20" s="43" t="s">
        <v>28</v>
      </c>
      <c r="B20" s="43"/>
      <c r="C20" s="43"/>
      <c r="D20" s="43"/>
      <c r="E20" s="43"/>
      <c r="F20" s="43"/>
      <c r="G20" s="43"/>
      <c r="H20" s="43"/>
      <c r="I20" s="43"/>
      <c r="J20" s="43"/>
      <c r="K20" s="43"/>
      <c r="L20" s="43"/>
    </row>
  </sheetData>
  <mergeCells count="29">
    <mergeCell ref="A15:L15"/>
    <mergeCell ref="A16:L16"/>
    <mergeCell ref="A17:L17"/>
    <mergeCell ref="A18:L18"/>
    <mergeCell ref="A20:L20"/>
    <mergeCell ref="A14:L14"/>
    <mergeCell ref="E9:F9"/>
    <mergeCell ref="E10:F10"/>
    <mergeCell ref="G6:H8"/>
    <mergeCell ref="G9:H9"/>
    <mergeCell ref="G10:H10"/>
    <mergeCell ref="I6:J8"/>
    <mergeCell ref="I9:J9"/>
    <mergeCell ref="I10:J10"/>
    <mergeCell ref="A10:B10"/>
    <mergeCell ref="C10:D10"/>
    <mergeCell ref="K6:L8"/>
    <mergeCell ref="K9:L9"/>
    <mergeCell ref="K10:L10"/>
    <mergeCell ref="A12:L12"/>
    <mergeCell ref="A13:L13"/>
    <mergeCell ref="A1:L1"/>
    <mergeCell ref="A2:L2"/>
    <mergeCell ref="A3:L3"/>
    <mergeCell ref="A6:B8"/>
    <mergeCell ref="A9:B9"/>
    <mergeCell ref="C6:D8"/>
    <mergeCell ref="C9:D9"/>
    <mergeCell ref="E6:F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B1328-31CE-4C0C-8DBA-C41DDF0E3255}">
  <sheetPr>
    <tabColor rgb="FFC39E6A"/>
  </sheetPr>
  <dimension ref="A1:F32"/>
  <sheetViews>
    <sheetView topLeftCell="A10" zoomScale="63" workbookViewId="0">
      <selection activeCell="M38" sqref="M38"/>
    </sheetView>
  </sheetViews>
  <sheetFormatPr defaultRowHeight="14.25" x14ac:dyDescent="0.45"/>
  <cols>
    <col min="1" max="6" width="16.59765625" customWidth="1"/>
  </cols>
  <sheetData>
    <row r="1" spans="1:6" ht="42" customHeight="1" x14ac:dyDescent="0.45">
      <c r="A1" s="27" t="s">
        <v>29</v>
      </c>
      <c r="B1" s="27"/>
      <c r="C1" s="27"/>
      <c r="D1" s="27"/>
      <c r="E1" s="27"/>
      <c r="F1" s="27"/>
    </row>
    <row r="2" spans="1:6" ht="22.05" customHeight="1" x14ac:dyDescent="0.45">
      <c r="A2" s="28" t="s">
        <v>30</v>
      </c>
      <c r="B2" s="28"/>
      <c r="C2" s="28"/>
      <c r="D2" s="28"/>
      <c r="E2" s="28"/>
      <c r="F2" s="28"/>
    </row>
    <row r="3" spans="1:6" ht="6" customHeight="1" x14ac:dyDescent="0.45">
      <c r="A3" s="1"/>
      <c r="B3" s="1"/>
      <c r="C3" s="1"/>
      <c r="D3" s="1"/>
      <c r="E3" s="1"/>
      <c r="F3" s="1"/>
    </row>
    <row r="4" spans="1:6" ht="8" customHeight="1" x14ac:dyDescent="0.45">
      <c r="A4" s="1"/>
      <c r="B4" s="1"/>
      <c r="C4" s="1"/>
      <c r="D4" s="1"/>
      <c r="E4" s="1"/>
      <c r="F4" s="1"/>
    </row>
    <row r="5" spans="1:6" ht="26" customHeight="1" x14ac:dyDescent="0.45">
      <c r="A5" s="3" t="s">
        <v>31</v>
      </c>
      <c r="B5" s="3" t="s">
        <v>32</v>
      </c>
      <c r="C5" s="3" t="s">
        <v>33</v>
      </c>
      <c r="D5" s="3" t="s">
        <v>34</v>
      </c>
      <c r="E5" s="3" t="s">
        <v>35</v>
      </c>
      <c r="F5" s="3" t="s">
        <v>36</v>
      </c>
    </row>
    <row r="6" spans="1:6" ht="22.05" customHeight="1" x14ac:dyDescent="0.45">
      <c r="A6" s="4" t="s">
        <v>37</v>
      </c>
      <c r="B6" s="5" t="s">
        <v>38</v>
      </c>
      <c r="C6" s="5" t="s">
        <v>39</v>
      </c>
      <c r="D6" s="5" t="s">
        <v>40</v>
      </c>
      <c r="E6" s="5" t="s">
        <v>41</v>
      </c>
      <c r="F6" s="4" t="s">
        <v>42</v>
      </c>
    </row>
    <row r="7" spans="1:6" ht="22.05" customHeight="1" x14ac:dyDescent="0.45">
      <c r="A7" s="6" t="s">
        <v>43</v>
      </c>
      <c r="B7" s="7" t="s">
        <v>44</v>
      </c>
      <c r="C7" s="7" t="s">
        <v>45</v>
      </c>
      <c r="D7" s="7" t="s">
        <v>46</v>
      </c>
      <c r="E7" s="7" t="s">
        <v>47</v>
      </c>
      <c r="F7" s="6" t="s">
        <v>48</v>
      </c>
    </row>
    <row r="8" spans="1:6" ht="22.05" customHeight="1" x14ac:dyDescent="0.45">
      <c r="A8" s="4" t="s">
        <v>49</v>
      </c>
      <c r="B8" s="5" t="s">
        <v>50</v>
      </c>
      <c r="C8" s="5" t="s">
        <v>51</v>
      </c>
      <c r="D8" s="5" t="s">
        <v>52</v>
      </c>
      <c r="E8" s="5" t="s">
        <v>53</v>
      </c>
      <c r="F8" s="4" t="s">
        <v>54</v>
      </c>
    </row>
    <row r="9" spans="1:6" ht="22.05" customHeight="1" x14ac:dyDescent="0.45">
      <c r="A9" s="6" t="s">
        <v>55</v>
      </c>
      <c r="B9" s="7" t="s">
        <v>56</v>
      </c>
      <c r="C9" s="7" t="s">
        <v>57</v>
      </c>
      <c r="D9" s="7" t="s">
        <v>58</v>
      </c>
      <c r="E9" s="7" t="s">
        <v>59</v>
      </c>
      <c r="F9" s="6" t="s">
        <v>60</v>
      </c>
    </row>
    <row r="10" spans="1:6" ht="22.05" customHeight="1" x14ac:dyDescent="0.45">
      <c r="A10" s="4" t="s">
        <v>61</v>
      </c>
      <c r="B10" s="5" t="s">
        <v>62</v>
      </c>
      <c r="C10" s="5" t="s">
        <v>63</v>
      </c>
      <c r="D10" s="5" t="s">
        <v>64</v>
      </c>
      <c r="E10" s="5" t="s">
        <v>65</v>
      </c>
      <c r="F10" s="4" t="s">
        <v>66</v>
      </c>
    </row>
    <row r="11" spans="1:6" ht="10.050000000000001" customHeight="1" x14ac:dyDescent="0.45"/>
    <row r="32" ht="10.050000000000001" customHeight="1" x14ac:dyDescent="0.45"/>
  </sheetData>
  <mergeCells count="2">
    <mergeCell ref="A1:F1"/>
    <mergeCell ref="A2:F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B5192-4731-4C62-8F60-5E75EE7AAC1E}">
  <sheetPr>
    <tabColor rgb="FFC39E6A"/>
  </sheetPr>
  <dimension ref="A1:E32"/>
  <sheetViews>
    <sheetView zoomScale="66" workbookViewId="0">
      <selection activeCell="G8" sqref="G8"/>
    </sheetView>
  </sheetViews>
  <sheetFormatPr defaultRowHeight="14.25" x14ac:dyDescent="0.45"/>
  <cols>
    <col min="1" max="5" width="18.59765625" customWidth="1"/>
  </cols>
  <sheetData>
    <row r="1" spans="1:5" ht="42" customHeight="1" x14ac:dyDescent="0.45">
      <c r="A1" s="27" t="s">
        <v>67</v>
      </c>
      <c r="B1" s="27"/>
      <c r="C1" s="27"/>
      <c r="D1" s="27"/>
      <c r="E1" s="27"/>
    </row>
    <row r="2" spans="1:5" ht="22.05" customHeight="1" x14ac:dyDescent="0.45">
      <c r="A2" s="28" t="s">
        <v>68</v>
      </c>
      <c r="B2" s="28"/>
      <c r="C2" s="28"/>
      <c r="D2" s="28"/>
      <c r="E2" s="28"/>
    </row>
    <row r="3" spans="1:5" ht="6" customHeight="1" x14ac:dyDescent="0.45">
      <c r="A3" s="1"/>
      <c r="B3" s="1"/>
      <c r="C3" s="1"/>
      <c r="D3" s="1"/>
      <c r="E3" s="1"/>
    </row>
    <row r="4" spans="1:5" ht="8" customHeight="1" x14ac:dyDescent="0.45">
      <c r="A4" s="1"/>
      <c r="B4" s="1"/>
      <c r="C4" s="1"/>
      <c r="D4" s="1"/>
      <c r="E4" s="1"/>
    </row>
    <row r="5" spans="1:5" ht="26" customHeight="1" x14ac:dyDescent="0.45">
      <c r="A5" s="3" t="s">
        <v>69</v>
      </c>
      <c r="B5" s="3" t="s">
        <v>70</v>
      </c>
      <c r="C5" s="3" t="s">
        <v>33</v>
      </c>
      <c r="D5" s="3" t="s">
        <v>71</v>
      </c>
      <c r="E5" s="3" t="s">
        <v>72</v>
      </c>
    </row>
    <row r="6" spans="1:5" ht="22.05" customHeight="1" x14ac:dyDescent="0.45">
      <c r="A6" s="8" t="s">
        <v>73</v>
      </c>
      <c r="B6" s="5" t="s">
        <v>74</v>
      </c>
      <c r="C6" s="5" t="s">
        <v>75</v>
      </c>
      <c r="D6" s="5" t="s">
        <v>76</v>
      </c>
      <c r="E6" s="5" t="s">
        <v>77</v>
      </c>
    </row>
    <row r="7" spans="1:5" ht="22.05" customHeight="1" x14ac:dyDescent="0.45">
      <c r="A7" s="9" t="s">
        <v>78</v>
      </c>
      <c r="B7" s="7" t="s">
        <v>79</v>
      </c>
      <c r="C7" s="7" t="s">
        <v>80</v>
      </c>
      <c r="D7" s="7" t="s">
        <v>81</v>
      </c>
      <c r="E7" s="7" t="s">
        <v>82</v>
      </c>
    </row>
    <row r="8" spans="1:5" ht="22.05" customHeight="1" x14ac:dyDescent="0.45">
      <c r="A8" s="8" t="s">
        <v>83</v>
      </c>
      <c r="B8" s="5" t="s">
        <v>84</v>
      </c>
      <c r="C8" s="5" t="s">
        <v>85</v>
      </c>
      <c r="D8" s="5" t="s">
        <v>86</v>
      </c>
      <c r="E8" s="5" t="s">
        <v>87</v>
      </c>
    </row>
    <row r="9" spans="1:5" ht="22.05" customHeight="1" x14ac:dyDescent="0.45">
      <c r="A9" s="9" t="s">
        <v>88</v>
      </c>
      <c r="B9" s="7" t="s">
        <v>89</v>
      </c>
      <c r="C9" s="7" t="s">
        <v>90</v>
      </c>
      <c r="D9" s="7" t="s">
        <v>91</v>
      </c>
      <c r="E9" s="7" t="s">
        <v>92</v>
      </c>
    </row>
    <row r="10" spans="1:5" ht="22.05" customHeight="1" x14ac:dyDescent="0.45">
      <c r="A10" s="8" t="s">
        <v>93</v>
      </c>
      <c r="B10" s="5" t="s">
        <v>94</v>
      </c>
      <c r="C10" s="5" t="s">
        <v>95</v>
      </c>
      <c r="D10" s="5" t="s">
        <v>96</v>
      </c>
      <c r="E10" s="5" t="s">
        <v>97</v>
      </c>
    </row>
    <row r="11" spans="1:5" ht="10.050000000000001" customHeight="1" x14ac:dyDescent="0.45"/>
    <row r="32" ht="10.050000000000001" customHeight="1" x14ac:dyDescent="0.45"/>
  </sheetData>
  <mergeCells count="2">
    <mergeCell ref="A1:E1"/>
    <mergeCell ref="A2:E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61182-4B0B-4DCC-80CB-19FC2780B182}">
  <sheetPr>
    <tabColor rgb="FFC39E6A"/>
  </sheetPr>
  <dimension ref="A1:D56"/>
  <sheetViews>
    <sheetView topLeftCell="C28" zoomScale="70" zoomScaleNormal="70" workbookViewId="0">
      <selection activeCell="I62" sqref="I62"/>
    </sheetView>
  </sheetViews>
  <sheetFormatPr defaultRowHeight="14.25" x14ac:dyDescent="0.45"/>
  <cols>
    <col min="1" max="1" width="24.59765625" customWidth="1"/>
    <col min="2" max="4" width="16.59765625" customWidth="1"/>
  </cols>
  <sheetData>
    <row r="1" spans="1:4" ht="42" customHeight="1" x14ac:dyDescent="0.45">
      <c r="A1" s="27" t="s">
        <v>98</v>
      </c>
      <c r="B1" s="27"/>
      <c r="C1" s="27"/>
      <c r="D1" s="27"/>
    </row>
    <row r="2" spans="1:4" ht="22.05" customHeight="1" x14ac:dyDescent="0.45">
      <c r="A2" s="28" t="s">
        <v>99</v>
      </c>
      <c r="B2" s="28"/>
      <c r="C2" s="28"/>
      <c r="D2" s="28"/>
    </row>
    <row r="3" spans="1:4" ht="6" customHeight="1" x14ac:dyDescent="0.45">
      <c r="A3" s="1"/>
      <c r="B3" s="1"/>
      <c r="C3" s="1"/>
      <c r="D3" s="1"/>
    </row>
    <row r="4" spans="1:4" ht="8" customHeight="1" x14ac:dyDescent="0.45">
      <c r="A4" s="1"/>
      <c r="B4" s="1"/>
      <c r="C4" s="1"/>
      <c r="D4" s="1"/>
    </row>
    <row r="5" spans="1:4" ht="26" customHeight="1" x14ac:dyDescent="0.45">
      <c r="A5" s="3" t="s">
        <v>100</v>
      </c>
      <c r="B5" s="3" t="s">
        <v>101</v>
      </c>
      <c r="C5" s="3" t="s">
        <v>102</v>
      </c>
      <c r="D5" s="3" t="s">
        <v>103</v>
      </c>
    </row>
    <row r="6" spans="1:4" ht="22.05" customHeight="1" x14ac:dyDescent="0.45">
      <c r="A6" s="8" t="s">
        <v>20</v>
      </c>
      <c r="B6" s="5" t="s">
        <v>104</v>
      </c>
      <c r="C6" s="5" t="s">
        <v>18</v>
      </c>
      <c r="D6" s="10" t="s">
        <v>105</v>
      </c>
    </row>
    <row r="7" spans="1:4" ht="22.05" customHeight="1" x14ac:dyDescent="0.45">
      <c r="A7" s="9" t="s">
        <v>106</v>
      </c>
      <c r="B7" s="7" t="s">
        <v>107</v>
      </c>
      <c r="C7" s="7" t="s">
        <v>108</v>
      </c>
      <c r="D7" s="11" t="s">
        <v>105</v>
      </c>
    </row>
    <row r="8" spans="1:4" ht="22.05" customHeight="1" x14ac:dyDescent="0.45">
      <c r="A8" s="8" t="s">
        <v>109</v>
      </c>
      <c r="B8" s="5" t="s">
        <v>110</v>
      </c>
      <c r="C8" s="5" t="s">
        <v>111</v>
      </c>
      <c r="D8" s="12" t="s">
        <v>112</v>
      </c>
    </row>
    <row r="9" spans="1:4" ht="22.05" customHeight="1" x14ac:dyDescent="0.45">
      <c r="A9" s="9" t="s">
        <v>113</v>
      </c>
      <c r="B9" s="7" t="s">
        <v>114</v>
      </c>
      <c r="C9" s="7" t="s">
        <v>115</v>
      </c>
      <c r="D9" s="13" t="s">
        <v>116</v>
      </c>
    </row>
    <row r="10" spans="1:4" ht="22.05" customHeight="1" x14ac:dyDescent="0.45">
      <c r="A10" s="8" t="s">
        <v>117</v>
      </c>
      <c r="B10" s="5" t="s">
        <v>118</v>
      </c>
      <c r="C10" s="5" t="s">
        <v>119</v>
      </c>
      <c r="D10" s="10" t="s">
        <v>105</v>
      </c>
    </row>
    <row r="11" spans="1:4" ht="22.05" customHeight="1" x14ac:dyDescent="0.45">
      <c r="A11" s="9" t="s">
        <v>120</v>
      </c>
      <c r="B11" s="7" t="s">
        <v>121</v>
      </c>
      <c r="C11" s="7" t="s">
        <v>122</v>
      </c>
      <c r="D11" s="11" t="s">
        <v>105</v>
      </c>
    </row>
    <row r="12" spans="1:4" ht="22.05" customHeight="1" x14ac:dyDescent="0.45">
      <c r="A12" s="8" t="s">
        <v>123</v>
      </c>
      <c r="B12" s="5" t="s">
        <v>124</v>
      </c>
      <c r="C12" s="5" t="s">
        <v>125</v>
      </c>
      <c r="D12" s="10" t="s">
        <v>105</v>
      </c>
    </row>
    <row r="13" spans="1:4" ht="22.05" customHeight="1" x14ac:dyDescent="0.45">
      <c r="A13" s="9" t="s">
        <v>126</v>
      </c>
      <c r="B13" s="7" t="s">
        <v>127</v>
      </c>
      <c r="C13" s="7" t="s">
        <v>128</v>
      </c>
      <c r="D13" s="11" t="s">
        <v>105</v>
      </c>
    </row>
    <row r="14" spans="1:4" ht="22.05" customHeight="1" x14ac:dyDescent="0.45">
      <c r="A14" s="8" t="s">
        <v>129</v>
      </c>
      <c r="B14" s="5" t="s">
        <v>130</v>
      </c>
      <c r="C14" s="5" t="s">
        <v>131</v>
      </c>
      <c r="D14" s="10" t="s">
        <v>105</v>
      </c>
    </row>
    <row r="15" spans="1:4" ht="22.05" customHeight="1" x14ac:dyDescent="0.45">
      <c r="A15" s="9" t="s">
        <v>132</v>
      </c>
      <c r="B15" s="7" t="s">
        <v>133</v>
      </c>
      <c r="C15" s="7" t="s">
        <v>134</v>
      </c>
      <c r="D15" s="13" t="s">
        <v>116</v>
      </c>
    </row>
    <row r="16" spans="1:4" ht="22.05" customHeight="1" x14ac:dyDescent="0.45">
      <c r="A16" s="8" t="s">
        <v>135</v>
      </c>
      <c r="B16" s="5" t="s">
        <v>136</v>
      </c>
      <c r="C16" s="5" t="s">
        <v>137</v>
      </c>
      <c r="D16" s="12" t="s">
        <v>112</v>
      </c>
    </row>
    <row r="17" spans="1:4" ht="22.05" customHeight="1" x14ac:dyDescent="0.45">
      <c r="A17" s="9" t="s">
        <v>138</v>
      </c>
      <c r="B17" s="7" t="s">
        <v>139</v>
      </c>
      <c r="C17" s="7" t="s">
        <v>140</v>
      </c>
      <c r="D17" s="11" t="s">
        <v>105</v>
      </c>
    </row>
    <row r="18" spans="1:4" ht="10.050000000000001" customHeight="1" x14ac:dyDescent="0.45"/>
    <row r="56" ht="10.050000000000001" customHeight="1" x14ac:dyDescent="0.45"/>
  </sheetData>
  <mergeCells count="2">
    <mergeCell ref="A1:D1"/>
    <mergeCell ref="A2:D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752D9-0E15-4A44-B9F0-ECCD88456AFC}">
  <sheetPr>
    <tabColor rgb="FFC39E6A"/>
  </sheetPr>
  <dimension ref="A1:D32"/>
  <sheetViews>
    <sheetView zoomScale="51" workbookViewId="0">
      <selection activeCell="J44" sqref="J44"/>
    </sheetView>
  </sheetViews>
  <sheetFormatPr defaultRowHeight="14.25" x14ac:dyDescent="0.45"/>
  <cols>
    <col min="1" max="4" width="22.59765625" customWidth="1"/>
  </cols>
  <sheetData>
    <row r="1" spans="1:4" ht="42" customHeight="1" x14ac:dyDescent="0.45">
      <c r="A1" s="27" t="s">
        <v>141</v>
      </c>
      <c r="B1" s="27"/>
      <c r="C1" s="27"/>
      <c r="D1" s="27"/>
    </row>
    <row r="2" spans="1:4" ht="22.05" customHeight="1" x14ac:dyDescent="0.45">
      <c r="A2" s="28" t="s">
        <v>142</v>
      </c>
      <c r="B2" s="28"/>
      <c r="C2" s="28"/>
      <c r="D2" s="28"/>
    </row>
    <row r="3" spans="1:4" ht="6" customHeight="1" x14ac:dyDescent="0.45">
      <c r="A3" s="1"/>
      <c r="B3" s="1"/>
      <c r="C3" s="1"/>
      <c r="D3" s="1"/>
    </row>
    <row r="4" spans="1:4" ht="8" customHeight="1" x14ac:dyDescent="0.45">
      <c r="A4" s="1"/>
      <c r="B4" s="1"/>
      <c r="C4" s="1"/>
      <c r="D4" s="1"/>
    </row>
    <row r="5" spans="1:4" ht="26" customHeight="1" x14ac:dyDescent="0.45">
      <c r="A5" s="3" t="s">
        <v>143</v>
      </c>
      <c r="B5" s="3" t="s">
        <v>70</v>
      </c>
      <c r="C5" s="3" t="s">
        <v>33</v>
      </c>
      <c r="D5" s="3" t="s">
        <v>34</v>
      </c>
    </row>
    <row r="6" spans="1:4" ht="22.05" customHeight="1" x14ac:dyDescent="0.45">
      <c r="A6" s="8" t="s">
        <v>144</v>
      </c>
      <c r="B6" s="5" t="s">
        <v>145</v>
      </c>
      <c r="C6" s="5" t="s">
        <v>146</v>
      </c>
      <c r="D6" s="5" t="s">
        <v>147</v>
      </c>
    </row>
    <row r="7" spans="1:4" ht="22.05" customHeight="1" x14ac:dyDescent="0.45">
      <c r="A7" s="9" t="s">
        <v>148</v>
      </c>
      <c r="B7" s="7" t="s">
        <v>149</v>
      </c>
      <c r="C7" s="7" t="s">
        <v>150</v>
      </c>
      <c r="D7" s="7" t="s">
        <v>151</v>
      </c>
    </row>
    <row r="8" spans="1:4" ht="22.05" customHeight="1" x14ac:dyDescent="0.45">
      <c r="A8" s="8" t="s">
        <v>152</v>
      </c>
      <c r="B8" s="5" t="s">
        <v>153</v>
      </c>
      <c r="C8" s="5" t="s">
        <v>154</v>
      </c>
      <c r="D8" s="5" t="s">
        <v>155</v>
      </c>
    </row>
    <row r="9" spans="1:4" ht="8" customHeight="1" x14ac:dyDescent="0.45"/>
    <row r="10" spans="1:4" ht="30" customHeight="1" x14ac:dyDescent="0.45">
      <c r="A10" s="41" t="s">
        <v>156</v>
      </c>
      <c r="B10" s="41"/>
      <c r="C10" s="41"/>
      <c r="D10" s="41"/>
    </row>
    <row r="11" spans="1:4" ht="10.050000000000001" customHeight="1" x14ac:dyDescent="0.45"/>
    <row r="32" ht="10.050000000000001" customHeight="1" x14ac:dyDescent="0.45"/>
  </sheetData>
  <mergeCells count="3">
    <mergeCell ref="A1:D1"/>
    <mergeCell ref="A2:D2"/>
    <mergeCell ref="A10:D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A1AF-94D6-420A-8987-457E96604D85}">
  <sheetPr>
    <tabColor rgb="FFC39E6A"/>
  </sheetPr>
  <dimension ref="A1:E32"/>
  <sheetViews>
    <sheetView topLeftCell="A25" zoomScale="70" workbookViewId="0">
      <selection activeCell="L41" sqref="L41"/>
    </sheetView>
  </sheetViews>
  <sheetFormatPr defaultRowHeight="14.25" x14ac:dyDescent="0.45"/>
  <cols>
    <col min="1" max="5" width="18.59765625" customWidth="1"/>
  </cols>
  <sheetData>
    <row r="1" spans="1:5" ht="42" customHeight="1" x14ac:dyDescent="0.45">
      <c r="A1" s="27" t="s">
        <v>157</v>
      </c>
      <c r="B1" s="27"/>
      <c r="C1" s="27"/>
      <c r="D1" s="27"/>
      <c r="E1" s="27"/>
    </row>
    <row r="2" spans="1:5" ht="22.05" customHeight="1" x14ac:dyDescent="0.45">
      <c r="A2" s="28" t="s">
        <v>158</v>
      </c>
      <c r="B2" s="28"/>
      <c r="C2" s="28"/>
      <c r="D2" s="28"/>
      <c r="E2" s="28"/>
    </row>
    <row r="3" spans="1:5" ht="6" customHeight="1" x14ac:dyDescent="0.45">
      <c r="A3" s="1"/>
      <c r="B3" s="1"/>
      <c r="C3" s="1"/>
      <c r="D3" s="1"/>
      <c r="E3" s="1"/>
    </row>
    <row r="4" spans="1:5" ht="8" customHeight="1" x14ac:dyDescent="0.45">
      <c r="A4" s="1"/>
      <c r="B4" s="1"/>
      <c r="C4" s="1"/>
      <c r="D4" s="1"/>
      <c r="E4" s="1"/>
    </row>
    <row r="5" spans="1:5" ht="26" customHeight="1" x14ac:dyDescent="0.45">
      <c r="A5" s="3" t="s">
        <v>159</v>
      </c>
      <c r="B5" s="3" t="s">
        <v>70</v>
      </c>
      <c r="C5" s="3" t="s">
        <v>160</v>
      </c>
      <c r="D5" s="3" t="s">
        <v>161</v>
      </c>
      <c r="E5" s="3" t="s">
        <v>162</v>
      </c>
    </row>
    <row r="6" spans="1:5" ht="22.05" customHeight="1" x14ac:dyDescent="0.45">
      <c r="A6" s="8" t="s">
        <v>163</v>
      </c>
      <c r="B6" s="5" t="s">
        <v>164</v>
      </c>
      <c r="C6" s="5" t="s">
        <v>165</v>
      </c>
      <c r="D6" s="5" t="s">
        <v>165</v>
      </c>
      <c r="E6" s="14" t="s">
        <v>166</v>
      </c>
    </row>
    <row r="7" spans="1:5" ht="22.05" customHeight="1" x14ac:dyDescent="0.45">
      <c r="A7" s="9" t="s">
        <v>167</v>
      </c>
      <c r="B7" s="7" t="s">
        <v>168</v>
      </c>
      <c r="C7" s="7" t="s">
        <v>169</v>
      </c>
      <c r="D7" s="7" t="s">
        <v>170</v>
      </c>
      <c r="E7" s="15" t="s">
        <v>171</v>
      </c>
    </row>
    <row r="8" spans="1:5" ht="22.05" customHeight="1" x14ac:dyDescent="0.45">
      <c r="A8" s="8" t="s">
        <v>172</v>
      </c>
      <c r="B8" s="5" t="s">
        <v>173</v>
      </c>
      <c r="C8" s="5" t="s">
        <v>174</v>
      </c>
      <c r="D8" s="5" t="s">
        <v>175</v>
      </c>
      <c r="E8" s="14" t="s">
        <v>176</v>
      </c>
    </row>
    <row r="9" spans="1:5" ht="22.05" customHeight="1" x14ac:dyDescent="0.45">
      <c r="A9" s="9" t="s">
        <v>177</v>
      </c>
      <c r="B9" s="7" t="s">
        <v>178</v>
      </c>
      <c r="C9" s="7" t="s">
        <v>179</v>
      </c>
      <c r="D9" s="7" t="s">
        <v>180</v>
      </c>
      <c r="E9" s="15" t="s">
        <v>181</v>
      </c>
    </row>
    <row r="10" spans="1:5" ht="22.05" customHeight="1" x14ac:dyDescent="0.45">
      <c r="A10" s="8" t="s">
        <v>182</v>
      </c>
      <c r="B10" s="5" t="s">
        <v>183</v>
      </c>
      <c r="C10" s="5" t="s">
        <v>134</v>
      </c>
      <c r="D10" s="5" t="s">
        <v>184</v>
      </c>
      <c r="E10" s="14" t="s">
        <v>185</v>
      </c>
    </row>
    <row r="11" spans="1:5" ht="10.050000000000001" customHeight="1" x14ac:dyDescent="0.45"/>
    <row r="32" ht="10.050000000000001" customHeight="1" x14ac:dyDescent="0.45"/>
  </sheetData>
  <mergeCells count="2">
    <mergeCell ref="A1:E1"/>
    <mergeCell ref="A2:E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76F0-9C76-4B62-B618-D50A858CDCE5}">
  <sheetPr>
    <tabColor rgb="FFC39E6A"/>
  </sheetPr>
  <dimension ref="A1:E32"/>
  <sheetViews>
    <sheetView topLeftCell="A10" zoomScale="43" workbookViewId="0">
      <selection activeCell="L45" sqref="L45"/>
    </sheetView>
  </sheetViews>
  <sheetFormatPr defaultRowHeight="14.25" x14ac:dyDescent="0.45"/>
  <cols>
    <col min="1" max="1" width="10.59765625" customWidth="1"/>
    <col min="2" max="3" width="13.59765625" customWidth="1"/>
    <col min="4" max="4" width="14.59765625" customWidth="1"/>
    <col min="5" max="5" width="50.59765625" customWidth="1"/>
  </cols>
  <sheetData>
    <row r="1" spans="1:5" ht="42" customHeight="1" x14ac:dyDescent="0.45">
      <c r="A1" s="27" t="s">
        <v>186</v>
      </c>
      <c r="B1" s="27"/>
      <c r="C1" s="27"/>
      <c r="D1" s="27"/>
      <c r="E1" s="27"/>
    </row>
    <row r="2" spans="1:5" ht="22.05" customHeight="1" x14ac:dyDescent="0.45">
      <c r="A2" s="28" t="s">
        <v>187</v>
      </c>
      <c r="B2" s="28"/>
      <c r="C2" s="28"/>
      <c r="D2" s="28"/>
      <c r="E2" s="28"/>
    </row>
    <row r="3" spans="1:5" ht="6" customHeight="1" x14ac:dyDescent="0.45">
      <c r="A3" s="1"/>
      <c r="B3" s="1"/>
      <c r="C3" s="1"/>
      <c r="D3" s="1"/>
      <c r="E3" s="1"/>
    </row>
    <row r="4" spans="1:5" ht="8" customHeight="1" x14ac:dyDescent="0.45">
      <c r="A4" s="1"/>
      <c r="B4" s="1"/>
      <c r="C4" s="1"/>
      <c r="D4" s="1"/>
      <c r="E4" s="1"/>
    </row>
    <row r="5" spans="1:5" ht="26" customHeight="1" x14ac:dyDescent="0.45">
      <c r="A5" s="3" t="s">
        <v>31</v>
      </c>
      <c r="B5" s="3" t="s">
        <v>32</v>
      </c>
      <c r="C5" s="3" t="s">
        <v>33</v>
      </c>
      <c r="D5" s="3" t="s">
        <v>35</v>
      </c>
      <c r="E5" s="3" t="s">
        <v>188</v>
      </c>
    </row>
    <row r="6" spans="1:5" ht="52.05" customHeight="1" x14ac:dyDescent="0.45">
      <c r="A6" s="4" t="s">
        <v>37</v>
      </c>
      <c r="B6" s="12" t="s">
        <v>38</v>
      </c>
      <c r="C6" s="12" t="s">
        <v>39</v>
      </c>
      <c r="D6" s="12" t="s">
        <v>41</v>
      </c>
      <c r="E6" s="16" t="s">
        <v>189</v>
      </c>
    </row>
    <row r="7" spans="1:5" ht="52.05" customHeight="1" x14ac:dyDescent="0.45">
      <c r="A7" s="6" t="s">
        <v>43</v>
      </c>
      <c r="B7" s="17" t="s">
        <v>44</v>
      </c>
      <c r="C7" s="17" t="s">
        <v>45</v>
      </c>
      <c r="D7" s="17" t="s">
        <v>47</v>
      </c>
      <c r="E7" s="18" t="s">
        <v>190</v>
      </c>
    </row>
    <row r="8" spans="1:5" ht="52.05" customHeight="1" x14ac:dyDescent="0.45">
      <c r="A8" s="4" t="s">
        <v>49</v>
      </c>
      <c r="B8" s="12" t="s">
        <v>50</v>
      </c>
      <c r="C8" s="12" t="s">
        <v>51</v>
      </c>
      <c r="D8" s="12" t="s">
        <v>53</v>
      </c>
      <c r="E8" s="16" t="s">
        <v>191</v>
      </c>
    </row>
    <row r="9" spans="1:5" ht="52.05" customHeight="1" x14ac:dyDescent="0.45">
      <c r="A9" s="6" t="s">
        <v>55</v>
      </c>
      <c r="B9" s="17" t="s">
        <v>56</v>
      </c>
      <c r="C9" s="17" t="s">
        <v>57</v>
      </c>
      <c r="D9" s="17" t="s">
        <v>59</v>
      </c>
      <c r="E9" s="18" t="s">
        <v>192</v>
      </c>
    </row>
    <row r="10" spans="1:5" ht="52.05" customHeight="1" x14ac:dyDescent="0.45">
      <c r="A10" s="4" t="s">
        <v>61</v>
      </c>
      <c r="B10" s="12" t="s">
        <v>62</v>
      </c>
      <c r="C10" s="12" t="s">
        <v>63</v>
      </c>
      <c r="D10" s="12" t="s">
        <v>65</v>
      </c>
      <c r="E10" s="16" t="s">
        <v>193</v>
      </c>
    </row>
    <row r="11" spans="1:5" ht="10.050000000000001" customHeight="1" x14ac:dyDescent="0.45"/>
    <row r="32" ht="10.050000000000001" customHeight="1" x14ac:dyDescent="0.45"/>
  </sheetData>
  <mergeCells count="2">
    <mergeCell ref="A1:E1"/>
    <mergeCell ref="A2:E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DC148-2D5A-4EFA-8486-6627341D4506}">
  <sheetPr>
    <tabColor rgb="FFC39E6A"/>
  </sheetPr>
  <dimension ref="A1:E38"/>
  <sheetViews>
    <sheetView tabSelected="1" zoomScale="75" workbookViewId="0">
      <selection activeCell="M50" sqref="M50"/>
    </sheetView>
  </sheetViews>
  <sheetFormatPr defaultRowHeight="14.25" x14ac:dyDescent="0.45"/>
  <cols>
    <col min="1" max="5" width="18.59765625" customWidth="1"/>
  </cols>
  <sheetData>
    <row r="1" spans="1:5" ht="42" customHeight="1" x14ac:dyDescent="0.45">
      <c r="A1" s="27" t="s">
        <v>194</v>
      </c>
      <c r="B1" s="27"/>
      <c r="C1" s="27"/>
      <c r="D1" s="27"/>
      <c r="E1" s="27"/>
    </row>
    <row r="2" spans="1:5" ht="22.05" customHeight="1" x14ac:dyDescent="0.45">
      <c r="A2" s="28" t="s">
        <v>195</v>
      </c>
      <c r="B2" s="28"/>
      <c r="C2" s="28"/>
      <c r="D2" s="28"/>
      <c r="E2" s="28"/>
    </row>
    <row r="3" spans="1:5" ht="6" customHeight="1" x14ac:dyDescent="0.45">
      <c r="A3" s="1"/>
      <c r="B3" s="1"/>
      <c r="C3" s="1"/>
      <c r="D3" s="1"/>
      <c r="E3" s="1"/>
    </row>
    <row r="4" spans="1:5" ht="8" customHeight="1" x14ac:dyDescent="0.45">
      <c r="A4" s="1"/>
      <c r="B4" s="1"/>
      <c r="C4" s="1"/>
      <c r="D4" s="1"/>
      <c r="E4" s="1"/>
    </row>
    <row r="5" spans="1:5" ht="26" customHeight="1" x14ac:dyDescent="0.45">
      <c r="A5" s="3" t="s">
        <v>31</v>
      </c>
      <c r="B5" s="3" t="s">
        <v>196</v>
      </c>
      <c r="C5" s="3" t="s">
        <v>197</v>
      </c>
      <c r="D5" s="3" t="s">
        <v>198</v>
      </c>
      <c r="E5" s="3" t="s">
        <v>199</v>
      </c>
    </row>
    <row r="6" spans="1:5" ht="22.05" customHeight="1" x14ac:dyDescent="0.45">
      <c r="A6" s="4" t="s">
        <v>200</v>
      </c>
      <c r="B6" s="5" t="s">
        <v>63</v>
      </c>
      <c r="C6" s="5" t="s">
        <v>63</v>
      </c>
      <c r="D6" s="19" t="s">
        <v>63</v>
      </c>
      <c r="E6" s="20" t="s">
        <v>201</v>
      </c>
    </row>
    <row r="7" spans="1:5" ht="22.05" customHeight="1" x14ac:dyDescent="0.45">
      <c r="A7" s="6" t="s">
        <v>202</v>
      </c>
      <c r="B7" s="7" t="s">
        <v>203</v>
      </c>
      <c r="C7" s="7" t="s">
        <v>80</v>
      </c>
      <c r="D7" s="21" t="s">
        <v>204</v>
      </c>
      <c r="E7" s="22" t="s">
        <v>205</v>
      </c>
    </row>
    <row r="8" spans="1:5" ht="22.05" customHeight="1" x14ac:dyDescent="0.45">
      <c r="A8" s="4" t="s">
        <v>206</v>
      </c>
      <c r="B8" s="5" t="s">
        <v>207</v>
      </c>
      <c r="C8" s="5" t="s">
        <v>208</v>
      </c>
      <c r="D8" s="19" t="s">
        <v>209</v>
      </c>
      <c r="E8" s="20" t="s">
        <v>210</v>
      </c>
    </row>
    <row r="9" spans="1:5" ht="22.05" customHeight="1" x14ac:dyDescent="0.45">
      <c r="A9" s="6" t="s">
        <v>211</v>
      </c>
      <c r="B9" s="7" t="s">
        <v>212</v>
      </c>
      <c r="C9" s="7" t="s">
        <v>213</v>
      </c>
      <c r="D9" s="21" t="s">
        <v>214</v>
      </c>
      <c r="E9" s="22" t="s">
        <v>215</v>
      </c>
    </row>
    <row r="10" spans="1:5" ht="22.05" customHeight="1" x14ac:dyDescent="0.45">
      <c r="A10" s="4" t="s">
        <v>216</v>
      </c>
      <c r="B10" s="5" t="s">
        <v>217</v>
      </c>
      <c r="C10" s="5" t="s">
        <v>218</v>
      </c>
      <c r="D10" s="19" t="s">
        <v>219</v>
      </c>
      <c r="E10" s="20" t="s">
        <v>220</v>
      </c>
    </row>
    <row r="11" spans="1:5" ht="22.05" customHeight="1" x14ac:dyDescent="0.45">
      <c r="A11" s="6" t="s">
        <v>221</v>
      </c>
      <c r="B11" s="7" t="s">
        <v>222</v>
      </c>
      <c r="C11" s="7" t="s">
        <v>223</v>
      </c>
      <c r="D11" s="21" t="s">
        <v>224</v>
      </c>
      <c r="E11" s="22" t="s">
        <v>225</v>
      </c>
    </row>
    <row r="12" spans="1:5" ht="12" customHeight="1" x14ac:dyDescent="0.45">
      <c r="A12" s="1"/>
      <c r="B12" s="1"/>
      <c r="C12" s="1"/>
      <c r="D12" s="1"/>
      <c r="E12" s="1"/>
    </row>
    <row r="13" spans="1:5" ht="24" customHeight="1" x14ac:dyDescent="0.45">
      <c r="A13" s="44" t="s">
        <v>226</v>
      </c>
      <c r="B13" s="44"/>
      <c r="C13" s="44"/>
      <c r="D13" s="44"/>
      <c r="E13" s="44"/>
    </row>
    <row r="14" spans="1:5" ht="22.05" customHeight="1" x14ac:dyDescent="0.45">
      <c r="A14" s="23" t="s">
        <v>227</v>
      </c>
      <c r="B14" s="24" t="s">
        <v>228</v>
      </c>
      <c r="C14" s="24" t="s">
        <v>229</v>
      </c>
      <c r="D14" s="24" t="s">
        <v>230</v>
      </c>
      <c r="E14" s="24" t="s">
        <v>231</v>
      </c>
    </row>
    <row r="15" spans="1:5" ht="22.05" customHeight="1" x14ac:dyDescent="0.45">
      <c r="A15" s="25" t="s">
        <v>232</v>
      </c>
      <c r="B15" s="26" t="s">
        <v>233</v>
      </c>
      <c r="C15" s="26" t="s">
        <v>234</v>
      </c>
      <c r="D15" s="26" t="s">
        <v>235</v>
      </c>
      <c r="E15" s="26" t="s">
        <v>236</v>
      </c>
    </row>
    <row r="16" spans="1:5" ht="22.05" customHeight="1" x14ac:dyDescent="0.45">
      <c r="A16" s="23" t="s">
        <v>237</v>
      </c>
      <c r="B16" s="24" t="s">
        <v>238</v>
      </c>
      <c r="C16" s="24" t="s">
        <v>239</v>
      </c>
      <c r="D16" s="24" t="s">
        <v>240</v>
      </c>
      <c r="E16" s="24" t="s">
        <v>241</v>
      </c>
    </row>
    <row r="17" ht="10.050000000000001" customHeight="1" x14ac:dyDescent="0.45"/>
    <row r="38" ht="10.050000000000001" customHeight="1" x14ac:dyDescent="0.45"/>
  </sheetData>
  <mergeCells count="3">
    <mergeCell ref="A1:E1"/>
    <mergeCell ref="A2:E2"/>
    <mergeCell ref="A13:E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Annual Trends</vt:lpstr>
      <vt:lpstr>Seating Revenue</vt:lpstr>
      <vt:lpstr>Fan Feedback</vt:lpstr>
      <vt:lpstr>Membership Insights</vt:lpstr>
      <vt:lpstr>Spend Distribution</vt:lpstr>
      <vt:lpstr>Year-by-Year Context</vt:lpstr>
      <vt:lpstr>Revenue Opportunity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Garcia Gallego, David</dc:creator>
  <cp:lastModifiedBy>Garcia Gallego, David</cp:lastModifiedBy>
  <dcterms:created xsi:type="dcterms:W3CDTF">2026-04-18T23:05:41Z</dcterms:created>
  <dcterms:modified xsi:type="dcterms:W3CDTF">2026-05-02T18:22:26Z</dcterms:modified>
</cp:coreProperties>
</file>